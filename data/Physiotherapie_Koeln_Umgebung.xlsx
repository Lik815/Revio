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xen" sheetId="1" state="visible" r:id="rId3"/>
    <sheet name="Übersicht" sheetId="2" state="visible" r:id="rId4"/>
  </sheets>
  <definedNames>
    <definedName function="false" hidden="true" localSheetId="0" name="_xlnm._FilterDatabase" vbProcedure="false">Praxen!$A$1:$K$172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<sst xmlns="http://schemas.openxmlformats.org/spreadsheetml/2006/main" count="1396" uniqueCount="910">
  <si>
    <t xml:space="preserve">Nr.</t>
  </si>
  <si>
    <t xml:space="preserve">Praxis</t>
  </si>
  <si>
    <t xml:space="preserve">Stadtteil</t>
  </si>
  <si>
    <t xml:space="preserve">Bezirk / Region</t>
  </si>
  <si>
    <t xml:space="preserve">Adresse</t>
  </si>
  <si>
    <t xml:space="preserve">PLZ</t>
  </si>
  <si>
    <t xml:space="preserve">Telefon</t>
  </si>
  <si>
    <t xml:space="preserve">Google-Bewertung</t>
  </si>
  <si>
    <t xml:space="preserve">Anz. Bewertungen</t>
  </si>
  <si>
    <t xml:space="preserve">Öffnungszeiten (Kurzform)</t>
  </si>
  <si>
    <t xml:space="preserve">Hinweis / Schwerpunkt</t>
  </si>
  <si>
    <t xml:space="preserve">Christiane Petersen Massage-Praxis</t>
  </si>
  <si>
    <t xml:space="preserve">Chorweiler</t>
  </si>
  <si>
    <t xml:space="preserve">Nikolaus-Groß-Straße 3</t>
  </si>
  <si>
    <t xml:space="preserve">50767</t>
  </si>
  <si>
    <t xml:space="preserve">+49 221 5902270</t>
  </si>
  <si>
    <t xml:space="preserve">auf Anfrage</t>
  </si>
  <si>
    <t xml:space="preserve">Reine Massagepraxis; Räume nur mit Vorhang getrennt</t>
  </si>
  <si>
    <t xml:space="preserve">Physiotherapie Angelika Heyl</t>
  </si>
  <si>
    <t xml:space="preserve">Konrad-Hausmann-Straße 2</t>
  </si>
  <si>
    <t xml:space="preserve">+49 221 5349366</t>
  </si>
  <si>
    <t xml:space="preserve">Mo–Do 8:00–18:00, Fr bis 12:00</t>
  </si>
  <si>
    <t xml:space="preserve">Kinder und Menschen mit Behinderung</t>
  </si>
  <si>
    <t xml:space="preserve">Physiotherapie Ritterbeck</t>
  </si>
  <si>
    <t xml:space="preserve">Pesch</t>
  </si>
  <si>
    <t xml:space="preserve">Im Gewerbegebiet Pesch 13a</t>
  </si>
  <si>
    <t xml:space="preserve">+49 221 95318065</t>
  </si>
  <si>
    <t xml:space="preserve">Mo–Do 8:00–19:00, Fr bis 16:00</t>
  </si>
  <si>
    <t xml:space="preserve">Spezialtherapien vorher telefonisch erfragen</t>
  </si>
  <si>
    <t xml:space="preserve">Physiotherapie Praxis Köln Seeberg</t>
  </si>
  <si>
    <t xml:space="preserve">Seeberg</t>
  </si>
  <si>
    <t xml:space="preserve">Kuskestraße 12</t>
  </si>
  <si>
    <t xml:space="preserve">50769</t>
  </si>
  <si>
    <t xml:space="preserve">+49 221 94534449</t>
  </si>
  <si>
    <t xml:space="preserve">Mo–Sa 8:00/9:00–17:00</t>
  </si>
  <si>
    <t xml:space="preserve">Samstags offen, Manuelle Therapie, Osteopathie, Lymphdrainage</t>
  </si>
  <si>
    <t xml:space="preserve">Praxis Hanneli Keijsers</t>
  </si>
  <si>
    <t xml:space="preserve">Londoner Platz 2</t>
  </si>
  <si>
    <t xml:space="preserve">50765</t>
  </si>
  <si>
    <t xml:space="preserve">+49 221 708017</t>
  </si>
  <si>
    <t xml:space="preserve">Mo–Do 8:00–19:00, Fr bis 14:00</t>
  </si>
  <si>
    <t xml:space="preserve">Hausbesuche, Lymphdrainage</t>
  </si>
  <si>
    <t xml:space="preserve">Physio- &amp; Ergotherapie Sylvia Pirnay</t>
  </si>
  <si>
    <t xml:space="preserve">Volkhoven/Weiler</t>
  </si>
  <si>
    <t xml:space="preserve">Martinusstraße 53</t>
  </si>
  <si>
    <t xml:space="preserve">+49 221 7099885</t>
  </si>
  <si>
    <t xml:space="preserve">Mo–Fr 7:00–20:00</t>
  </si>
  <si>
    <t xml:space="preserve">Kinderphysio, Handtherapie; viele Terminverschiebungen</t>
  </si>
  <si>
    <t xml:space="preserve">Sabine Heuel Physiotherapie</t>
  </si>
  <si>
    <t xml:space="preserve">Weilerstraße 8</t>
  </si>
  <si>
    <t xml:space="preserve">+49 221 76087667</t>
  </si>
  <si>
    <t xml:space="preserve">Mo–Fr 8:00–19:00</t>
  </si>
  <si>
    <t xml:space="preserve">Babys und Kleinkinder</t>
  </si>
  <si>
    <t xml:space="preserve">Physiotherapiepraxis Sylvia Pirnay Worringen</t>
  </si>
  <si>
    <t xml:space="preserve">Worringen</t>
  </si>
  <si>
    <t xml:space="preserve">Hackhauser Weg 61</t>
  </si>
  <si>
    <t xml:space="preserve">+49 221 782571</t>
  </si>
  <si>
    <t xml:space="preserve">Kinderphysio, gut telefonisch erreichbar</t>
  </si>
  <si>
    <t xml:space="preserve">APELOS Das Zentrum</t>
  </si>
  <si>
    <t xml:space="preserve">Ehrenfeld</t>
  </si>
  <si>
    <t xml:space="preserve">Vogelsanger Straße 78-80</t>
  </si>
  <si>
    <t xml:space="preserve">50823</t>
  </si>
  <si>
    <t xml:space="preserve">+49 221 9529390</t>
  </si>
  <si>
    <t xml:space="preserve">Mo–Do 7:30–17:00, Fr bis 14:00</t>
  </si>
  <si>
    <t xml:space="preserve">Physio + Osteo + Ergo, keine Klimaanlage</t>
  </si>
  <si>
    <t xml:space="preserve">BODYWORX Physiotherapie</t>
  </si>
  <si>
    <t xml:space="preserve">Venloer Straße 249</t>
  </si>
  <si>
    <t xml:space="preserve">+49 221 56080255</t>
  </si>
  <si>
    <t xml:space="preserve">Rücken und Bandscheibe</t>
  </si>
  <si>
    <t xml:space="preserve">Elementa Physio- &amp; Ergotherapie</t>
  </si>
  <si>
    <t xml:space="preserve">Vogelsanger Straße 197d</t>
  </si>
  <si>
    <t xml:space="preserve">50825</t>
  </si>
  <si>
    <t xml:space="preserve">+49 221 89996899</t>
  </si>
  <si>
    <t xml:space="preserve">Mo–Do 7:00–20:00, Fr bis 18:00</t>
  </si>
  <si>
    <t xml:space="preserve">Physio + Ergo, Kinderbegleitung möglich</t>
  </si>
  <si>
    <t xml:space="preserve">Kreuzburg Physiotherapie</t>
  </si>
  <si>
    <t xml:space="preserve">Gravenreuthstraße 25</t>
  </si>
  <si>
    <t xml:space="preserve">+49 221 69050222</t>
  </si>
  <si>
    <t xml:space="preserve">Mo–Do 7:00–20:00, Fr bis 16:00</t>
  </si>
  <si>
    <t xml:space="preserve">Kulante Absageregelung</t>
  </si>
  <si>
    <t xml:space="preserve">Physiotherapie Dittmann &amp; Heller</t>
  </si>
  <si>
    <t xml:space="preserve">Subbelrather Straße 273-275</t>
  </si>
  <si>
    <t xml:space="preserve">+49 221 5506733</t>
  </si>
  <si>
    <t xml:space="preserve">Mo–Fr 7:30–19:00</t>
  </si>
  <si>
    <t xml:space="preserve">Kinderphysio (Bobath), Kletterverletzungen</t>
  </si>
  <si>
    <t xml:space="preserve">Physiotherapie Ehrenfeld (Stefan Heider)</t>
  </si>
  <si>
    <t xml:space="preserve">Weinsbergstraße 170</t>
  </si>
  <si>
    <t xml:space="preserve">+49 221 42075975</t>
  </si>
  <si>
    <t xml:space="preserve">Mo–Do 7:00–19:30, Fr bis 16:30</t>
  </si>
  <si>
    <t xml:space="preserve">Erfahrener Einzeltherapeut, englischsprachig</t>
  </si>
  <si>
    <t xml:space="preserve">Physiotherapie Köln Ehrenfeld – ReBuild</t>
  </si>
  <si>
    <t xml:space="preserve">Venloer Straße 547</t>
  </si>
  <si>
    <t xml:space="preserve">+49 1575 2930231</t>
  </si>
  <si>
    <t xml:space="preserve">Mo–Fr 8:00–20:00</t>
  </si>
  <si>
    <t xml:space="preserve">Sport-Reha, eigener Geräteraum</t>
  </si>
  <si>
    <t xml:space="preserve">Physiotherapie Lenzen &amp; Stark</t>
  </si>
  <si>
    <t xml:space="preserve">Venloer Straße 227-231</t>
  </si>
  <si>
    <t xml:space="preserve">+49 221 56066247</t>
  </si>
  <si>
    <t xml:space="preserve">Mo–Do 8:30–18:30, Fr bis 16:00</t>
  </si>
  <si>
    <t xml:space="preserve">Hausbesuche, neurologische Fälle</t>
  </si>
  <si>
    <t xml:space="preserve">Physiotherapie Vanessa Lorre</t>
  </si>
  <si>
    <t xml:space="preserve">Grüner Weg 30</t>
  </si>
  <si>
    <t xml:space="preserve">+49 221 48492260</t>
  </si>
  <si>
    <t xml:space="preserve">Mo–Do 7:00–21:00, Fr bis 17:00</t>
  </si>
  <si>
    <t xml:space="preserve">Oft kurzfristige Termine, bis 21 Uhr</t>
  </si>
  <si>
    <t xml:space="preserve">Feras Asaad Physiotherapie</t>
  </si>
  <si>
    <t xml:space="preserve">Ossendorf</t>
  </si>
  <si>
    <t xml:space="preserve">Venloer Straße 690/692</t>
  </si>
  <si>
    <t xml:space="preserve">50827</t>
  </si>
  <si>
    <t xml:space="preserve">+49 221 27641430</t>
  </si>
  <si>
    <t xml:space="preserve">Mo–Do 9:00–12:00 und 15:00–18:00</t>
  </si>
  <si>
    <t xml:space="preserve">Einzeltherapeut, volle Behandlungszeit</t>
  </si>
  <si>
    <t xml:space="preserve">PhysioCorpus</t>
  </si>
  <si>
    <t xml:space="preserve">Frohnhofstraße 130</t>
  </si>
  <si>
    <t xml:space="preserve">+49 221 99381199</t>
  </si>
  <si>
    <t xml:space="preserve">Mo–Do 8:00–20:00, Fr bis 13:30</t>
  </si>
  <si>
    <t xml:space="preserve">Gute Geräteausstattung, Knie-Reha</t>
  </si>
  <si>
    <t xml:space="preserve">Physiotherapie Anja Thimm</t>
  </si>
  <si>
    <t xml:space="preserve">Sandweg 4</t>
  </si>
  <si>
    <t xml:space="preserve">+49 221 8013494</t>
  </si>
  <si>
    <t xml:space="preserve">Manuelle Therapie; Terminvergabe teils schwierig</t>
  </si>
  <si>
    <t xml:space="preserve">PHYSIO:LOGISCH Agnesviertel</t>
  </si>
  <si>
    <t xml:space="preserve">Agnesviertel</t>
  </si>
  <si>
    <t xml:space="preserve">Innenstadt</t>
  </si>
  <si>
    <t xml:space="preserve">Neusser Straße 99</t>
  </si>
  <si>
    <t xml:space="preserve">50670</t>
  </si>
  <si>
    <t xml:space="preserve">+49 221 87081689</t>
  </si>
  <si>
    <t xml:space="preserve">Mo–Do 8:00–20:00, Fr bis 16:00</t>
  </si>
  <si>
    <t xml:space="preserve">Modern, eigene Trainingsgeräte</t>
  </si>
  <si>
    <t xml:space="preserve">Physiotherapie Köln Agnesviertel – ReBuild</t>
  </si>
  <si>
    <t xml:space="preserve">Neusser Straße 106</t>
  </si>
  <si>
    <t xml:space="preserve">+49 15568 678251</t>
  </si>
  <si>
    <t xml:space="preserve">Sport-Reha mit Gerätefläche, englischsprachig</t>
  </si>
  <si>
    <t xml:space="preserve">My Personal Physio</t>
  </si>
  <si>
    <t xml:space="preserve">Altstadt-Nord</t>
  </si>
  <si>
    <t xml:space="preserve">Albertusstraße 50</t>
  </si>
  <si>
    <t xml:space="preserve">50667</t>
  </si>
  <si>
    <t xml:space="preserve">+49 221 2724995</t>
  </si>
  <si>
    <t xml:space="preserve">Mo–Do 8:30–18:00, Fr bis 16:00</t>
  </si>
  <si>
    <t xml:space="preserve">Terminbuchung über Doctolib</t>
  </si>
  <si>
    <t xml:space="preserve">Physiotherapie Stefanie Grueter</t>
  </si>
  <si>
    <t xml:space="preserve">Wallrafplatz 9</t>
  </si>
  <si>
    <t xml:space="preserve">+49 221 2577477</t>
  </si>
  <si>
    <t xml:space="preserve">Di–Do 8:00–19:00, Fr bis 14:00</t>
  </si>
  <si>
    <t xml:space="preserve">Nähe Hauptbahnhof, keine Kartenzahlung</t>
  </si>
  <si>
    <t xml:space="preserve">Physiotherapie mensana•med Astrid Strang</t>
  </si>
  <si>
    <t xml:space="preserve">Kolumbastraße 5</t>
  </si>
  <si>
    <t xml:space="preserve">+49 221 51091990</t>
  </si>
  <si>
    <t xml:space="preserve">Schwerpunkt Handtherapie</t>
  </si>
  <si>
    <t xml:space="preserve">IFS Köln Physiotherapie und Osteopathie</t>
  </si>
  <si>
    <t xml:space="preserve">Altstadt-Süd</t>
  </si>
  <si>
    <t xml:space="preserve">Josef-Haubrich-Hof 3</t>
  </si>
  <si>
    <t xml:space="preserve">50676</t>
  </si>
  <si>
    <t xml:space="preserve">+49 221 272340</t>
  </si>
  <si>
    <t xml:space="preserve">Mo–Do 7:30–19:30, Fr bis 15:30</t>
  </si>
  <si>
    <t xml:space="preserve">Physio + Osteopathie, mehrsprachig, eigene App</t>
  </si>
  <si>
    <t xml:space="preserve">PHYSIO CKI – Köln Neumarkt</t>
  </si>
  <si>
    <t xml:space="preserve">Hahnenstraße 15</t>
  </si>
  <si>
    <t xml:space="preserve">+49 221 27744460</t>
  </si>
  <si>
    <t xml:space="preserve">Rehasport, sportartspezifischer Aufbau</t>
  </si>
  <si>
    <t xml:space="preserve">PhysioSport am Neumarkt</t>
  </si>
  <si>
    <t xml:space="preserve">Neumarkt 1C</t>
  </si>
  <si>
    <t xml:space="preserve">+49 221 2588528</t>
  </si>
  <si>
    <t xml:space="preserve">Mo–Do 7:30–20:00, Fr bis 19:00</t>
  </si>
  <si>
    <t xml:space="preserve">Barrierefrei, CMD und Lymphdrainage</t>
  </si>
  <si>
    <t xml:space="preserve">PhysioSport Köln Deutz</t>
  </si>
  <si>
    <t xml:space="preserve">Deutz</t>
  </si>
  <si>
    <t xml:space="preserve">Opladener Straße 8</t>
  </si>
  <si>
    <t xml:space="preserve">50679</t>
  </si>
  <si>
    <t xml:space="preserve">+49 221 9331090</t>
  </si>
  <si>
    <t xml:space="preserve">Sportwissenschaftler und Trainingsfläche; Zusatzpakete beachten</t>
  </si>
  <si>
    <t xml:space="preserve">Physiotherapie Praxis A. Kimer</t>
  </si>
  <si>
    <t xml:space="preserve">Theodor-Babilon-Straße 3</t>
  </si>
  <si>
    <t xml:space="preserve">+49 221 8703090</t>
  </si>
  <si>
    <t xml:space="preserve">Mo–Fr 8:00–19:00 (variabel)</t>
  </si>
  <si>
    <t xml:space="preserve">Kleines Team, sehr persönliche Betreuung</t>
  </si>
  <si>
    <t xml:space="preserve">Rückgrat – Private Praxis</t>
  </si>
  <si>
    <t xml:space="preserve">Siegburger Straße 111-113</t>
  </si>
  <si>
    <t xml:space="preserve">+49 178 2196542</t>
  </si>
  <si>
    <t xml:space="preserve">Privatpraxis, Lipödem-Nachsorge, Ganzheitlich</t>
  </si>
  <si>
    <t xml:space="preserve">Beisel &amp; Burkhard Physio &amp; Osteopathie</t>
  </si>
  <si>
    <t xml:space="preserve">Neustadt-Nord</t>
  </si>
  <si>
    <t xml:space="preserve">Bismarckstraße 10</t>
  </si>
  <si>
    <t xml:space="preserve">50672</t>
  </si>
  <si>
    <t xml:space="preserve">+49 221 9981855</t>
  </si>
  <si>
    <t xml:space="preserve">Mo–Do 7:20–20:00, Fr bis 16:00</t>
  </si>
  <si>
    <t xml:space="preserve">Nähe Friesenplatz, gut ausgelastet</t>
  </si>
  <si>
    <t xml:space="preserve">Praxis Bettina Pfalz</t>
  </si>
  <si>
    <t xml:space="preserve">Neustadt-Süd</t>
  </si>
  <si>
    <t xml:space="preserve">Hochstadenstraße 33</t>
  </si>
  <si>
    <t xml:space="preserve">50674</t>
  </si>
  <si>
    <t xml:space="preserve">+49 221 29205859</t>
  </si>
  <si>
    <t xml:space="preserve">Mo–Do 7:00–19:00, Fr 8:00–19:00</t>
  </si>
  <si>
    <t xml:space="preserve">Kiefergelenk (CMD), Stoßwellen, Schmerztherapie</t>
  </si>
  <si>
    <t xml:space="preserve">Kölner.Physio.Kollektiv.</t>
  </si>
  <si>
    <t xml:space="preserve">Südstadt</t>
  </si>
  <si>
    <t xml:space="preserve">Overstolzenstraße 2a</t>
  </si>
  <si>
    <t xml:space="preserve">50677</t>
  </si>
  <si>
    <t xml:space="preserve">+49 221 2228670</t>
  </si>
  <si>
    <t xml:space="preserve">Mo–Do 7:00–21:00, Sa 8:00–14:00</t>
  </si>
  <si>
    <t xml:space="preserve">Samstagstermine, Beckenboden</t>
  </si>
  <si>
    <t xml:space="preserve">PhysioPraxis Neukirchen</t>
  </si>
  <si>
    <t xml:space="preserve">Ubierring 5</t>
  </si>
  <si>
    <t xml:space="preserve">50678</t>
  </si>
  <si>
    <t xml:space="preserve">+49 221 3318040</t>
  </si>
  <si>
    <t xml:space="preserve">Internationales Team, Akuttermine möglich</t>
  </si>
  <si>
    <t xml:space="preserve">Physio² Physiotherapie und Osteopathie Südstadt</t>
  </si>
  <si>
    <t xml:space="preserve">Im Ferkulum 27</t>
  </si>
  <si>
    <t xml:space="preserve">+49 160 97922940</t>
  </si>
  <si>
    <t xml:space="preserve">Mo–Do 8:00–20:00, Fr bis 15:00</t>
  </si>
  <si>
    <t xml:space="preserve">Flexible Termine, englischsprachig</t>
  </si>
  <si>
    <t xml:space="preserve">Praxis Burkhardt und Greeb</t>
  </si>
  <si>
    <t xml:space="preserve">Mainzer Straße 58</t>
  </si>
  <si>
    <t xml:space="preserve">+49 221 382516</t>
  </si>
  <si>
    <t xml:space="preserve">Kleine Praxis, Souterrain</t>
  </si>
  <si>
    <t xml:space="preserve">Praxis Hogeback</t>
  </si>
  <si>
    <t xml:space="preserve">Vorgebirgstraße 35</t>
  </si>
  <si>
    <t xml:space="preserve">+49 221 3403791</t>
  </si>
  <si>
    <t xml:space="preserve">Mo–Do 7:30–20:00, Fr bis 14:00</t>
  </si>
  <si>
    <t xml:space="preserve">Physio + Osteopathie + Heilpraktiker, Lymphdrainage</t>
  </si>
  <si>
    <t xml:space="preserve">Praxis für Physiotherapie Sabine Seifert</t>
  </si>
  <si>
    <t xml:space="preserve">Ulrichgasse 18D</t>
  </si>
  <si>
    <t xml:space="preserve">+49 221 311772</t>
  </si>
  <si>
    <t xml:space="preserve">Auch Privatpatienten, Knie-Schwerpunkt</t>
  </si>
  <si>
    <t xml:space="preserve">Pro Physio Rinke Südstadt</t>
  </si>
  <si>
    <t xml:space="preserve">Kartäuserwall 61</t>
  </si>
  <si>
    <t xml:space="preserve">+49 221 57077124</t>
  </si>
  <si>
    <t xml:space="preserve">Mo–Do 8:00–20:00, Fr bis 15:30</t>
  </si>
  <si>
    <t xml:space="preserve">Sport-Reha, moderne Geräte</t>
  </si>
  <si>
    <t xml:space="preserve">„Der Physiofuchs" Borutta &amp; Pößneck</t>
  </si>
  <si>
    <t xml:space="preserve">Chlodwigplatz 5</t>
  </si>
  <si>
    <t xml:space="preserve">+49 221 321671</t>
  </si>
  <si>
    <t xml:space="preserve">Mo–Fr 7:30–19:00, Mi bis 20:00</t>
  </si>
  <si>
    <t xml:space="preserve">Oft kurzfristige Akuttermine</t>
  </si>
  <si>
    <t xml:space="preserve">Physiotherapie Pohl</t>
  </si>
  <si>
    <t xml:space="preserve">Humboldt-Gremberg</t>
  </si>
  <si>
    <t xml:space="preserve">Kalk</t>
  </si>
  <si>
    <t xml:space="preserve">Odenwaldstraße 46-48</t>
  </si>
  <si>
    <t xml:space="preserve">51105</t>
  </si>
  <si>
    <t xml:space="preserve">+49 221 98944710</t>
  </si>
  <si>
    <t xml:space="preserve">Sehr erfahrener Einzeltherapeut</t>
  </si>
  <si>
    <t xml:space="preserve">Taunus Praxis</t>
  </si>
  <si>
    <t xml:space="preserve">Taunusstraße 2</t>
  </si>
  <si>
    <t xml:space="preserve">+49 221 831256</t>
  </si>
  <si>
    <t xml:space="preserve">Mo–Do 8:00–18:00, Fr bis 14:00</t>
  </si>
  <si>
    <t xml:space="preserve">Kleine Praxis, schnelle Termine</t>
  </si>
  <si>
    <t xml:space="preserve">physioteam andrea fiebig</t>
  </si>
  <si>
    <t xml:space="preserve">Rolshover Straße 99</t>
  </si>
  <si>
    <t xml:space="preserve">+49 221 8805870</t>
  </si>
  <si>
    <t xml:space="preserve">Lymphödem-Schwerpunkt</t>
  </si>
  <si>
    <t xml:space="preserve">MOSAIC Praxen für Physiotherapie</t>
  </si>
  <si>
    <t xml:space="preserve">Breuerstraße 2</t>
  </si>
  <si>
    <t xml:space="preserve">51103</t>
  </si>
  <si>
    <t xml:space="preserve">+49 221 8708123</t>
  </si>
  <si>
    <t xml:space="preserve">Mo–Do 8:00–19:00, Fr bis 13:00</t>
  </si>
  <si>
    <t xml:space="preserve">Auch Kinderphysio, sehr flexibel bei Umbuchungen</t>
  </si>
  <si>
    <t xml:space="preserve">Physiotherapie Umut Köln Kalk</t>
  </si>
  <si>
    <t xml:space="preserve">Kalker Hauptstraße 150</t>
  </si>
  <si>
    <t xml:space="preserve">+49 221 42351118</t>
  </si>
  <si>
    <t xml:space="preserve">Mo–Fr 8:00–20:00, Sa 9:00–17:00</t>
  </si>
  <si>
    <t xml:space="preserve">Samstagstermine, kurzfristige Slots</t>
  </si>
  <si>
    <t xml:space="preserve">ProValida Physiotherapie</t>
  </si>
  <si>
    <t xml:space="preserve">Burgstraße 2</t>
  </si>
  <si>
    <t xml:space="preserve">+49 221 29896610</t>
  </si>
  <si>
    <t xml:space="preserve">Mo–Do 8:00–19:00, Fr bis 18:00</t>
  </si>
  <si>
    <t xml:space="preserve">Englischsprachig, kaum Wartezeit</t>
  </si>
  <si>
    <t xml:space="preserve">Praxis Doris Kurtenbach</t>
  </si>
  <si>
    <t xml:space="preserve">Merheim</t>
  </si>
  <si>
    <t xml:space="preserve">Olpener Straße 492</t>
  </si>
  <si>
    <t xml:space="preserve">51109</t>
  </si>
  <si>
    <t xml:space="preserve">+49 221 9890340</t>
  </si>
  <si>
    <t xml:space="preserve">Mo–Fr 8:00–18:00 (variabel)</t>
  </si>
  <si>
    <t xml:space="preserve">Kleine Praxis, Akupressur-Ansätze</t>
  </si>
  <si>
    <t xml:space="preserve">Praxis Serkan Gökce</t>
  </si>
  <si>
    <t xml:space="preserve">Olpener Straße 526</t>
  </si>
  <si>
    <t xml:space="preserve">+49 221 895379</t>
  </si>
  <si>
    <t xml:space="preserve">Mo–Do 7:00–19:00, Fr bis 15:00</t>
  </si>
  <si>
    <t xml:space="preserve">Frühtermine ab 7 Uhr, Fazialisparese, Bandscheibe</t>
  </si>
  <si>
    <t xml:space="preserve">Therapiepunkt Köln Arnikaweg</t>
  </si>
  <si>
    <t xml:space="preserve">Arnikaweg 3</t>
  </si>
  <si>
    <t xml:space="preserve">+49 221 94330100</t>
  </si>
  <si>
    <t xml:space="preserve">Klimatisierte Trainingsräume, TechnoGym</t>
  </si>
  <si>
    <t xml:space="preserve">Therapiepunkt Köln Kieskaulerweg</t>
  </si>
  <si>
    <t xml:space="preserve">Kieskaulerweg 142</t>
  </si>
  <si>
    <t xml:space="preserve">+49 221 22205511</t>
  </si>
  <si>
    <t xml:space="preserve">Physio und Ergotherapie</t>
  </si>
  <si>
    <t xml:space="preserve">Aktiv &amp; Gesund Praxis für Physiotherapie</t>
  </si>
  <si>
    <t xml:space="preserve">Neubrück</t>
  </si>
  <si>
    <t xml:space="preserve">Servatiusstraße 7</t>
  </si>
  <si>
    <t xml:space="preserve">+49 221 894616</t>
  </si>
  <si>
    <t xml:space="preserve">Umfangreiche Geräteausstattung, schnelle Termine</t>
  </si>
  <si>
    <t xml:space="preserve">Ergo- und Physiotherapiepraxis Burcu Morgün</t>
  </si>
  <si>
    <t xml:space="preserve">Ostheim</t>
  </si>
  <si>
    <t xml:space="preserve">Frankfurter Straße 703</t>
  </si>
  <si>
    <t xml:space="preserve">51107</t>
  </si>
  <si>
    <t xml:space="preserve">+49 221 29955895</t>
  </si>
  <si>
    <t xml:space="preserve">Physio + Ergo, auch spontane Termine</t>
  </si>
  <si>
    <t xml:space="preserve">Physiocare Physiotherapie</t>
  </si>
  <si>
    <t xml:space="preserve">Rath/Heumar</t>
  </si>
  <si>
    <t xml:space="preserve">Rösrather Straße 743</t>
  </si>
  <si>
    <t xml:space="preserve">+49 221 42316826</t>
  </si>
  <si>
    <t xml:space="preserve">Mo–Do 8:00–19:00, Fr bis 15:00</t>
  </si>
  <si>
    <t xml:space="preserve">CMD/Kiefer, Sportverletzungen; Abendtermine knapp</t>
  </si>
  <si>
    <t xml:space="preserve">Physiopraxis Rath Heumar</t>
  </si>
  <si>
    <t xml:space="preserve">Rösrather Straße 604</t>
  </si>
  <si>
    <t xml:space="preserve">+49 221 94535050</t>
  </si>
  <si>
    <t xml:space="preserve">Mo–Fr 8:30–17:30</t>
  </si>
  <si>
    <t xml:space="preserve">Lymphomat-Gerät; bei Lipödem eher nicht empfohlen</t>
  </si>
  <si>
    <t xml:space="preserve">PHYSIO CKI – Köln Braunsfeld</t>
  </si>
  <si>
    <t xml:space="preserve">Braunsfeld</t>
  </si>
  <si>
    <t xml:space="preserve">Lindenthal</t>
  </si>
  <si>
    <t xml:space="preserve">Aachener Straße 563-565</t>
  </si>
  <si>
    <t xml:space="preserve">50933</t>
  </si>
  <si>
    <t xml:space="preserve">+49 221 53407513</t>
  </si>
  <si>
    <t xml:space="preserve">Neu eröffnet, Sportphysio und Manuelle Therapie</t>
  </si>
  <si>
    <t xml:space="preserve">Physiostützpunkt Physiotherapie und Sport</t>
  </si>
  <si>
    <t xml:space="preserve">Aachener Straße 524/528</t>
  </si>
  <si>
    <t xml:space="preserve">+49 221 26028280</t>
  </si>
  <si>
    <t xml:space="preserve">Mo–Fr 7:30–20:00</t>
  </si>
  <si>
    <t xml:space="preserve">Sport-Reha; teils lange Wartezeit auf Termine</t>
  </si>
  <si>
    <t xml:space="preserve">Physioteam Braunsfeld Annika Vogel</t>
  </si>
  <si>
    <t xml:space="preserve">Aachener Straße 537</t>
  </si>
  <si>
    <t xml:space="preserve">+49 221 5540822</t>
  </si>
  <si>
    <t xml:space="preserve">Kinder und Schwangerschaft, Hausbesuche</t>
  </si>
  <si>
    <t xml:space="preserve">Physiotherapie Petry</t>
  </si>
  <si>
    <t xml:space="preserve">Aachener Straße 456</t>
  </si>
  <si>
    <t xml:space="preserve">+49 221 5341377</t>
  </si>
  <si>
    <t xml:space="preserve">Englischsprachig, Hüfte und Rücken</t>
  </si>
  <si>
    <t xml:space="preserve">Romain Gragnoli Physiotherapie</t>
  </si>
  <si>
    <t xml:space="preserve">Mo–Fr 8:00–18:00</t>
  </si>
  <si>
    <t xml:space="preserve">Deutsch und Französisch, Knie-Reha</t>
  </si>
  <si>
    <t xml:space="preserve">BKP – Berkay Kuralay Physiotherapie</t>
  </si>
  <si>
    <t xml:space="preserve">Junkersdorf</t>
  </si>
  <si>
    <t xml:space="preserve">Wilhelm-Schlombs-Allee 2</t>
  </si>
  <si>
    <t xml:space="preserve">50858</t>
  </si>
  <si>
    <t xml:space="preserve">+49 176 32137853</t>
  </si>
  <si>
    <t xml:space="preserve">Moderne Geräte, Knie nach Skiunfall</t>
  </si>
  <si>
    <t xml:space="preserve">Physio Wela</t>
  </si>
  <si>
    <t xml:space="preserve">Kölner Weg 7</t>
  </si>
  <si>
    <t xml:space="preserve">+49 163 2522294</t>
  </si>
  <si>
    <t xml:space="preserve">Mo–Do 10:00–19:00, Di/Fr früher</t>
  </si>
  <si>
    <t xml:space="preserve">Neu eröffnet, Physio und Wellness</t>
  </si>
  <si>
    <t xml:space="preserve">Praxis für Physiotherapie Elmar Hochhaus</t>
  </si>
  <si>
    <t xml:space="preserve">Wiener Weg 14</t>
  </si>
  <si>
    <t xml:space="preserve">+49 221 57003490</t>
  </si>
  <si>
    <t xml:space="preserve">Sportverletzungen; keine Nachmittagstermine</t>
  </si>
  <si>
    <t xml:space="preserve">Enwavement SportsPhysiotherapy</t>
  </si>
  <si>
    <t xml:space="preserve">Luxemburger Straße 154</t>
  </si>
  <si>
    <t xml:space="preserve">50937</t>
  </si>
  <si>
    <t xml:space="preserve">+49 1525 4558300</t>
  </si>
  <si>
    <t xml:space="preserve">Mo–Do bis 20:00, Fr bis 16:30</t>
  </si>
  <si>
    <t xml:space="preserve">Sportphysio, Kreuzband-Reha; kleine Räume</t>
  </si>
  <si>
    <t xml:space="preserve">Krankengymnastik &amp; Massage Susanne Gersabeck</t>
  </si>
  <si>
    <t xml:space="preserve">Luxemburger Straße 266</t>
  </si>
  <si>
    <t xml:space="preserve">+49 221 28272044</t>
  </si>
  <si>
    <t xml:space="preserve">Kleine, familiäre Praxis</t>
  </si>
  <si>
    <t xml:space="preserve">NOVOTERGUM Physiotherapie Lindenthal</t>
  </si>
  <si>
    <t xml:space="preserve">Gleueler Straße 277</t>
  </si>
  <si>
    <t xml:space="preserve">50935</t>
  </si>
  <si>
    <t xml:space="preserve">+49 221 4300512</t>
  </si>
  <si>
    <t xml:space="preserve">Mo–Do 8:00–20:00, Sa 9:00–14:00</t>
  </si>
  <si>
    <t xml:space="preserve">Samstags offen, auch Hausbesuche</t>
  </si>
  <si>
    <t xml:space="preserve">Physio Forte</t>
  </si>
  <si>
    <t xml:space="preserve">Lindenthalgürtel 46</t>
  </si>
  <si>
    <t xml:space="preserve">+49 221 29871643</t>
  </si>
  <si>
    <t xml:space="preserve">Mo–Do 9:00–19:00, Fr bis 17:00</t>
  </si>
  <si>
    <t xml:space="preserve">Hydrojet-Massage; teils wechselnde Therapeuten</t>
  </si>
  <si>
    <t xml:space="preserve">Physio ZWEIPUNKTNULL</t>
  </si>
  <si>
    <t xml:space="preserve">Geibelstraße 29</t>
  </si>
  <si>
    <t xml:space="preserve">50931</t>
  </si>
  <si>
    <t xml:space="preserve">+49 221 71731666</t>
  </si>
  <si>
    <t xml:space="preserve">Mo–Do 8:00–20:00, Fr geschlossen</t>
  </si>
  <si>
    <t xml:space="preserve">Neubau mit Trainingsfläche; freitags zu</t>
  </si>
  <si>
    <t xml:space="preserve">Physio-Atelier Arman Dogru</t>
  </si>
  <si>
    <t xml:space="preserve">Gustavstraße 6</t>
  </si>
  <si>
    <t xml:space="preserve">+49 1575 6297040</t>
  </si>
  <si>
    <t xml:space="preserve">Mo–Fr 8:30–18:30</t>
  </si>
  <si>
    <t xml:space="preserve">Manuelle Therapie, Faszien, Yoga; gesetzlich und privat</t>
  </si>
  <si>
    <t xml:space="preserve">PhysioAktiv Köln</t>
  </si>
  <si>
    <t xml:space="preserve">Berrenrather Straße 339</t>
  </si>
  <si>
    <t xml:space="preserve">+49 221 42327477</t>
  </si>
  <si>
    <t xml:space="preserve">Mo–Do 8:00–19:00, Fr bis 14:30</t>
  </si>
  <si>
    <t xml:space="preserve">Helle Räume; Kritik an Abrechnung/Datenschutz</t>
  </si>
  <si>
    <t xml:space="preserve">Physiotherapie VCM Hypokrathion Lindenthal</t>
  </si>
  <si>
    <t xml:space="preserve">Dürener Straße 199-203</t>
  </si>
  <si>
    <t xml:space="preserve">+49 179 7632694</t>
  </si>
  <si>
    <t xml:space="preserve">Mo–Fr 7:00–19:00, Sa 9:00–13:00</t>
  </si>
  <si>
    <t xml:space="preserve">Samstags offen, Sportverletzungen, Bandscheibe</t>
  </si>
  <si>
    <t xml:space="preserve">Praxis Hennecke – Lindenthal 1</t>
  </si>
  <si>
    <t xml:space="preserve">Lindenthalgürtel 102</t>
  </si>
  <si>
    <t xml:space="preserve">+49 221 404554</t>
  </si>
  <si>
    <t xml:space="preserve">Mo–Do 8:00–19:00, Fr bis 17:30</t>
  </si>
  <si>
    <t xml:space="preserve">Beckenboden und Inkontinenztherapie</t>
  </si>
  <si>
    <t xml:space="preserve">RUND UM WOHL Physiotherapie &amp; Neuroathletik</t>
  </si>
  <si>
    <t xml:space="preserve">Clarenbachstraße 2</t>
  </si>
  <si>
    <t xml:space="preserve">+49 221 80060888</t>
  </si>
  <si>
    <t xml:space="preserve">Mo–Mi 9:00–19:00, Do/Fr kürzer</t>
  </si>
  <si>
    <t xml:space="preserve">Neuroathletik, englischsprachig</t>
  </si>
  <si>
    <t xml:space="preserve">VEEDELPHYSIO</t>
  </si>
  <si>
    <t xml:space="preserve">Euskirchener Straße 22</t>
  </si>
  <si>
    <t xml:space="preserve">+49 176 43622934</t>
  </si>
  <si>
    <t xml:space="preserve">Hausbesuche per Fahrrad – gut bei eingeschränkter Mobilität</t>
  </si>
  <si>
    <t xml:space="preserve">diebewegungsmanufaktur Carina Siemes</t>
  </si>
  <si>
    <t xml:space="preserve">Luxemburger Straße 234</t>
  </si>
  <si>
    <t xml:space="preserve">+49 221 29297370</t>
  </si>
  <si>
    <t xml:space="preserve">Mo–Do 7:00–19:30, Fr bis 18:30</t>
  </si>
  <si>
    <t xml:space="preserve">Manuelle Therapie, Übungen für zuhause</t>
  </si>
  <si>
    <t xml:space="preserve">Physio zo Hus</t>
  </si>
  <si>
    <t xml:space="preserve">Lövenich</t>
  </si>
  <si>
    <t xml:space="preserve">Ostlandstraße 16</t>
  </si>
  <si>
    <t xml:space="preserve">+49 2234 4350851</t>
  </si>
  <si>
    <t xml:space="preserve">Hausbesuche, Kreuzband-Reha, Atos-Klinik-Anbindung</t>
  </si>
  <si>
    <t xml:space="preserve">ProTherapy</t>
  </si>
  <si>
    <t xml:space="preserve">Bahnstraße 181</t>
  </si>
  <si>
    <t xml:space="preserve">+49 1512 9155130</t>
  </si>
  <si>
    <t xml:space="preserve">Mo–Fr 7:30–20:00, Sa 9:00–13:00</t>
  </si>
  <si>
    <t xml:space="preserve">Leistungssport, Trainings- und Ernährungspläne</t>
  </si>
  <si>
    <t xml:space="preserve">Physiotherapie Müngersdorf</t>
  </si>
  <si>
    <t xml:space="preserve">Müngersdorf</t>
  </si>
  <si>
    <t xml:space="preserve">Alter Militärring 14-16</t>
  </si>
  <si>
    <t xml:space="preserve">+49 221 29865171</t>
  </si>
  <si>
    <t xml:space="preserve">Mo–Fr 8:00–19:00, Sa 10:00–13:00</t>
  </si>
  <si>
    <t xml:space="preserve">Samstags offen, auch Selbstzahler</t>
  </si>
  <si>
    <t xml:space="preserve">Gesunde Etagen Physiotherapie &amp; PhysioFit</t>
  </si>
  <si>
    <t xml:space="preserve">Sülz</t>
  </si>
  <si>
    <t xml:space="preserve">Berrenrather Straße 230-232</t>
  </si>
  <si>
    <t xml:space="preserve">50939</t>
  </si>
  <si>
    <t xml:space="preserve">+49 221 4758790</t>
  </si>
  <si>
    <t xml:space="preserve">Mo–Fr 8:00–20:00, Sa 9:00–14:00</t>
  </si>
  <si>
    <t xml:space="preserve">Samstags offen; Beckenboden, Akupunktur, Craniosacral</t>
  </si>
  <si>
    <t xml:space="preserve">Lux us Sülz Physiotherapie</t>
  </si>
  <si>
    <t xml:space="preserve">Luxemburger Straße 255</t>
  </si>
  <si>
    <t xml:space="preserve">+49 221 94191444</t>
  </si>
  <si>
    <t xml:space="preserve">Mo–Fr 8:00/9:00–16:00/18:00</t>
  </si>
  <si>
    <t xml:space="preserve">Kiefer (CMD), familienfreundlich</t>
  </si>
  <si>
    <t xml:space="preserve">Physio on Point</t>
  </si>
  <si>
    <t xml:space="preserve">Am Justizzentrum 7</t>
  </si>
  <si>
    <t xml:space="preserve">+49 221 56092697</t>
  </si>
  <si>
    <t xml:space="preserve">Mo–Mi 8:00–19:00, Do/Fr kürzer</t>
  </si>
  <si>
    <t xml:space="preserve">Team spricht mehrere Sprachen fließend</t>
  </si>
  <si>
    <t xml:space="preserve">Physios Köln</t>
  </si>
  <si>
    <t xml:space="preserve">Weißhausstraße 22</t>
  </si>
  <si>
    <t xml:space="preserve">+49 221 80054016</t>
  </si>
  <si>
    <t xml:space="preserve">Mo–Do 7:00–20:00, Fr bis 19:00</t>
  </si>
  <si>
    <t xml:space="preserve">Modern; bei Lymphdrainage Fortbildung erfragen</t>
  </si>
  <si>
    <t xml:space="preserve">Praxis Maringa – Physiotherapie</t>
  </si>
  <si>
    <t xml:space="preserve">Luxemburger Straße 249</t>
  </si>
  <si>
    <t xml:space="preserve">+49 1573 2589355</t>
  </si>
  <si>
    <t xml:space="preserve">Mo, Fr, Sa 9:00–20:00</t>
  </si>
  <si>
    <t xml:space="preserve">Lymphdrainage, CMD; nur an 3 Tagen geöffnet</t>
  </si>
  <si>
    <t xml:space="preserve">Praxis Regina Kock</t>
  </si>
  <si>
    <t xml:space="preserve">Siebengebirgsallee 7</t>
  </si>
  <si>
    <t xml:space="preserve">+49 221 4309357</t>
  </si>
  <si>
    <t xml:space="preserve">Mo–Do 8:00–19:00, Fr bis 17:00</t>
  </si>
  <si>
    <t xml:space="preserve">Sehr kleine Praxis, ganzheitlicher Ansatz</t>
  </si>
  <si>
    <t xml:space="preserve">Praxis für Physiotherapie Inga Jentgens</t>
  </si>
  <si>
    <t xml:space="preserve">Sülzgürtel 34</t>
  </si>
  <si>
    <t xml:space="preserve">+49 221 426921</t>
  </si>
  <si>
    <t xml:space="preserve">Post-OP Reha, Lymphdrainage, Narbenbehandlung</t>
  </si>
  <si>
    <t xml:space="preserve">Susanne Peters – Physio &amp; Entspannungstherapie</t>
  </si>
  <si>
    <t xml:space="preserve">Luxemburger Straße 293</t>
  </si>
  <si>
    <t xml:space="preserve">+49 221 8234978</t>
  </si>
  <si>
    <t xml:space="preserve">Ganzheitlich, Reha nach Mehrfachfrakturen</t>
  </si>
  <si>
    <t xml:space="preserve">Pro Physio Rinke Weiden</t>
  </si>
  <si>
    <t xml:space="preserve">Weiden</t>
  </si>
  <si>
    <t xml:space="preserve">Kronstädter Straße 100</t>
  </si>
  <si>
    <t xml:space="preserve">+49 2234 9673319</t>
  </si>
  <si>
    <t xml:space="preserve">Mo–Do 8:00–20:00, Fr bis 16:30</t>
  </si>
  <si>
    <t xml:space="preserve">Lymphdrainage, Schulter- und Knorpel-Reha</t>
  </si>
  <si>
    <t xml:space="preserve">Praxis für Physiotherapie Buchheim</t>
  </si>
  <si>
    <t xml:space="preserve">Buchheim</t>
  </si>
  <si>
    <t xml:space="preserve">Mülheim</t>
  </si>
  <si>
    <t xml:space="preserve">Alte Wipperfürther Straße 6</t>
  </si>
  <si>
    <t xml:space="preserve">51065</t>
  </si>
  <si>
    <t xml:space="preserve">Schulter und Arm, schnelle Termine</t>
  </si>
  <si>
    <t xml:space="preserve">Physiotherapie Kaspers-Haupt</t>
  </si>
  <si>
    <t xml:space="preserve">Dünnwald</t>
  </si>
  <si>
    <t xml:space="preserve">Im Weidenbruch 116A</t>
  </si>
  <si>
    <t xml:space="preserve">51061</t>
  </si>
  <si>
    <t xml:space="preserve">+49 221 632514</t>
  </si>
  <si>
    <t xml:space="preserve">Schwindel und Nackenverspannung</t>
  </si>
  <si>
    <t xml:space="preserve">Physiotherapie Wolfram Kreutzfeldt</t>
  </si>
  <si>
    <t xml:space="preserve">Honschaftsstraße 288A</t>
  </si>
  <si>
    <t xml:space="preserve">+49 221 635510</t>
  </si>
  <si>
    <t xml:space="preserve">Mo–Fr 8:00–12:30, teils nachmittags</t>
  </si>
  <si>
    <t xml:space="preserve">Familiäre Praxis, Mittagspause beachten</t>
  </si>
  <si>
    <t xml:space="preserve">IhrPhysio Alexej Teperschmidt</t>
  </si>
  <si>
    <t xml:space="preserve">Höhenhaus</t>
  </si>
  <si>
    <t xml:space="preserve">Bergisch Gladbacher Straße 700</t>
  </si>
  <si>
    <t xml:space="preserve">51067</t>
  </si>
  <si>
    <t xml:space="preserve">+49 221 6802080</t>
  </si>
  <si>
    <t xml:space="preserve">Sehr flexible Terminvergabe, wechselnde Übungen</t>
  </si>
  <si>
    <t xml:space="preserve">Praxis Julia Fleischer</t>
  </si>
  <si>
    <t xml:space="preserve">Florentine-Eichler-Straße 58</t>
  </si>
  <si>
    <t xml:space="preserve">+49 221 67117993</t>
  </si>
  <si>
    <t xml:space="preserve">Einzeltherapeutin, breites Fachwissen</t>
  </si>
  <si>
    <t xml:space="preserve">Praxis Udo Dahmen</t>
  </si>
  <si>
    <t xml:space="preserve">Rodstraße 2</t>
  </si>
  <si>
    <t xml:space="preserve">+49 221 97774507</t>
  </si>
  <si>
    <t xml:space="preserve">Mo–Do 8:00–17:00, Fr bis 15:00</t>
  </si>
  <si>
    <t xml:space="preserve">Physio + Osteopathie, 2 Parkplätze</t>
  </si>
  <si>
    <t xml:space="preserve">Privatpraxis für Physiotherapie GK</t>
  </si>
  <si>
    <t xml:space="preserve">Heinz-Kühn-Straße 39</t>
  </si>
  <si>
    <t xml:space="preserve">+49 221 27225351</t>
  </si>
  <si>
    <t xml:space="preserve">Mo–Fr 9:00–18:00 (Mi/Fr kürzer)</t>
  </si>
  <si>
    <t xml:space="preserve">Privatpraxis, lange Termine, Hausbesuche</t>
  </si>
  <si>
    <t xml:space="preserve">Praxis Maria Andretzki</t>
  </si>
  <si>
    <t xml:space="preserve">Herler Straße 101</t>
  </si>
  <si>
    <t xml:space="preserve">+49 221 96447340</t>
  </si>
  <si>
    <t xml:space="preserve">Mo–Do 8:00–20:00, Fr bis 14:00</t>
  </si>
  <si>
    <t xml:space="preserve">Schulter, gut organisiert</t>
  </si>
  <si>
    <t xml:space="preserve">Praxis Thomas Krämer</t>
  </si>
  <si>
    <t xml:space="preserve">Bergisch Gladbacher Straße 408/412</t>
  </si>
  <si>
    <t xml:space="preserve">+49 221 6087747</t>
  </si>
  <si>
    <t xml:space="preserve">Mo–Do 7:30–20:00, Fr bis 15:30</t>
  </si>
  <si>
    <t xml:space="preserve">Osteopathie, Migräne-Schwerpunkt</t>
  </si>
  <si>
    <t xml:space="preserve">myPhysio Physiotherapie Köln Mülheim</t>
  </si>
  <si>
    <t xml:space="preserve">Buchheimer Straße 37</t>
  </si>
  <si>
    <t xml:space="preserve">51063</t>
  </si>
  <si>
    <t xml:space="preserve">+49 221 47450990</t>
  </si>
  <si>
    <t xml:space="preserve">Mo–Do bis 19:00/20:00, Fr bis 16:30</t>
  </si>
  <si>
    <t xml:space="preserve">Knie-Reha, Lymphdrainage, flexible Termine</t>
  </si>
  <si>
    <t xml:space="preserve">Die Therapeuten</t>
  </si>
  <si>
    <t xml:space="preserve">Longerich</t>
  </si>
  <si>
    <t xml:space="preserve">Nippes</t>
  </si>
  <si>
    <t xml:space="preserve">An den Kreutzmorgen 2</t>
  </si>
  <si>
    <t xml:space="preserve">50737</t>
  </si>
  <si>
    <t xml:space="preserve">+49 221 7400777</t>
  </si>
  <si>
    <t xml:space="preserve">Mo–Fr 7:00–18:30</t>
  </si>
  <si>
    <t xml:space="preserve">Frühtermine ab 7 Uhr</t>
  </si>
  <si>
    <t xml:space="preserve">Physioteam Longerich</t>
  </si>
  <si>
    <t xml:space="preserve">Rambouxstraße 132N</t>
  </si>
  <si>
    <t xml:space="preserve">+49 221 7406545</t>
  </si>
  <si>
    <t xml:space="preserve">Mo–Do 8:00–18:30, Fr bis 14:00</t>
  </si>
  <si>
    <t xml:space="preserve">Nimmt oft noch Neupatienten auf</t>
  </si>
  <si>
    <t xml:space="preserve">Praxis Wolfgang Keil / Lunker Physio</t>
  </si>
  <si>
    <t xml:space="preserve">Longericher Straße 387</t>
  </si>
  <si>
    <t xml:space="preserve">50739</t>
  </si>
  <si>
    <t xml:space="preserve">+49 221 5994269</t>
  </si>
  <si>
    <t xml:space="preserve">Mo–Do 8:00–18:00, Fr bis 13:00</t>
  </si>
  <si>
    <t xml:space="preserve">Massage und KG; Bewertungen gemischt</t>
  </si>
  <si>
    <t xml:space="preserve">ProPhysio GmbH</t>
  </si>
  <si>
    <t xml:space="preserve">Graseggerstraße 105C</t>
  </si>
  <si>
    <t xml:space="preserve">+49 221 74918237</t>
  </si>
  <si>
    <t xml:space="preserve">Mo–Fr 7:30–20:00, Sa 8:00–18:00</t>
  </si>
  <si>
    <t xml:space="preserve">Samstags offen, Wassergymnastik und Gerätetraining</t>
  </si>
  <si>
    <t xml:space="preserve">TherapiePraxis Köln</t>
  </si>
  <si>
    <t xml:space="preserve">Neusser Straße 617</t>
  </si>
  <si>
    <t xml:space="preserve">+49 221 20044027</t>
  </si>
  <si>
    <t xml:space="preserve">Mo–Fr 8:00–17:00</t>
  </si>
  <si>
    <t xml:space="preserve">Modern; gelegentlich Terminabsagen</t>
  </si>
  <si>
    <t xml:space="preserve">NOVOTERGUM Physiotherapie (Ford)</t>
  </si>
  <si>
    <t xml:space="preserve">Niehl</t>
  </si>
  <si>
    <t xml:space="preserve">Henry-Ford-Straße 1</t>
  </si>
  <si>
    <t xml:space="preserve">50735</t>
  </si>
  <si>
    <t xml:space="preserve">+49 221 28275840</t>
  </si>
  <si>
    <t xml:space="preserve">Mo–Do 7:30–18:30, Fr bis 15:00</t>
  </si>
  <si>
    <t xml:space="preserve">Parkplätze vor Ort, kurzfristige Termine</t>
  </si>
  <si>
    <t xml:space="preserve">Therapie physioteam Köln</t>
  </si>
  <si>
    <t xml:space="preserve">Friedrich-Karl-Straße 241-243</t>
  </si>
  <si>
    <t xml:space="preserve">+49 221 7124181</t>
  </si>
  <si>
    <t xml:space="preserve">Mo–Do 8:00–19:00, Fr bis 16:30</t>
  </si>
  <si>
    <t xml:space="preserve">Neurologie, Gangstörungen; strikte Absageregeln</t>
  </si>
  <si>
    <t xml:space="preserve">PHYSIO:LOGISCH Nippes</t>
  </si>
  <si>
    <t xml:space="preserve">Siebachstraße 59</t>
  </si>
  <si>
    <t xml:space="preserve">50733</t>
  </si>
  <si>
    <t xml:space="preserve">+49 221 80023450</t>
  </si>
  <si>
    <t xml:space="preserve">Mo–Do 8:00–20:00, Fr bis 14:30</t>
  </si>
  <si>
    <t xml:space="preserve">Termine auch außerhalb der Öffnungszeiten</t>
  </si>
  <si>
    <t xml:space="preserve">Physikalische Therapie Nippes – Peter Rothkopf</t>
  </si>
  <si>
    <t xml:space="preserve">Neusser Straße 266-276</t>
  </si>
  <si>
    <t xml:space="preserve">+49 221 13056566</t>
  </si>
  <si>
    <t xml:space="preserve">Stark bei Lymphdrainage, kaum Wartezeit</t>
  </si>
  <si>
    <t xml:space="preserve">Physiotherapie &amp; Osteopathie Körpersprache</t>
  </si>
  <si>
    <t xml:space="preserve">Neusser Straße 232</t>
  </si>
  <si>
    <t xml:space="preserve">+49 160 5912478</t>
  </si>
  <si>
    <t xml:space="preserve">Mo/Mi bis 20:00, sonst variabel</t>
  </si>
  <si>
    <t xml:space="preserve">Lange Behandlungszeiten</t>
  </si>
  <si>
    <t xml:space="preserve">Physiotherapie Blücherstraße</t>
  </si>
  <si>
    <t xml:space="preserve">Blücherstraße 16</t>
  </si>
  <si>
    <t xml:space="preserve">+49 221 766849</t>
  </si>
  <si>
    <t xml:space="preserve">Alteingesessen, viele Langzeitpatienten</t>
  </si>
  <si>
    <t xml:space="preserve">Physiotherapie Hochgürtel</t>
  </si>
  <si>
    <t xml:space="preserve">Neusser Straße 482</t>
  </si>
  <si>
    <t xml:space="preserve">+49 221 7408653</t>
  </si>
  <si>
    <t xml:space="preserve">Mo–Fr vormittags, Mo/Di/Do auch nachmittags</t>
  </si>
  <si>
    <t xml:space="preserve">Lymphdrainage nach OP; Mi/Fr nur vormittags</t>
  </si>
  <si>
    <t xml:space="preserve">Physiotherapie Lösel</t>
  </si>
  <si>
    <t xml:space="preserve">Baudristraße 4</t>
  </si>
  <si>
    <t xml:space="preserve">+49 221 42357970</t>
  </si>
  <si>
    <t xml:space="preserve">Modern, Kreuzband- und Schulter-Reha</t>
  </si>
  <si>
    <t xml:space="preserve">Physiotherapie Nippes (Alireza Javid)</t>
  </si>
  <si>
    <t xml:space="preserve">Niehler Straße 308</t>
  </si>
  <si>
    <t xml:space="preserve">+49 221 70242140</t>
  </si>
  <si>
    <t xml:space="preserve">Mo–Do 8:00–18:00, Fr bis 16:00</t>
  </si>
  <si>
    <t xml:space="preserve">Sehr eigene, intensive Methode – Bewertungen gemischt</t>
  </si>
  <si>
    <t xml:space="preserve">Physiotherapie Praxis Kasa</t>
  </si>
  <si>
    <t xml:space="preserve">Niehler Gürtel 104</t>
  </si>
  <si>
    <t xml:space="preserve">+49 221 54816115</t>
  </si>
  <si>
    <t xml:space="preserve">Mo–Fr 8:00–20:00, Sa 9:00–13:00</t>
  </si>
  <si>
    <t xml:space="preserve">Samstagstermine; Empfang teils unfreundlich</t>
  </si>
  <si>
    <t xml:space="preserve">Physiotherapie Christiane Pötter</t>
  </si>
  <si>
    <t xml:space="preserve">Weidenpesch</t>
  </si>
  <si>
    <t xml:space="preserve">nur Hausbesuche</t>
  </si>
  <si>
    <t xml:space="preserve">+49 174 9234765</t>
  </si>
  <si>
    <t xml:space="preserve">Mo–Fr 9:00–17:00</t>
  </si>
  <si>
    <t xml:space="preserve">Ausschließlich Hausbesuche</t>
  </si>
  <si>
    <t xml:space="preserve">Praxis für ganzheitliche Therapie</t>
  </si>
  <si>
    <t xml:space="preserve">Schiefersburger Weg 23</t>
  </si>
  <si>
    <t xml:space="preserve">+49 221 1706404</t>
  </si>
  <si>
    <t xml:space="preserve">Rotlicht/Wärme, Ischias; Behandlungen teils kurz</t>
  </si>
  <si>
    <t xml:space="preserve">Physio Vital Poll</t>
  </si>
  <si>
    <t xml:space="preserve">Poll</t>
  </si>
  <si>
    <t xml:space="preserve">Porz</t>
  </si>
  <si>
    <t xml:space="preserve">Poller Hauptstraße 25-27</t>
  </si>
  <si>
    <t xml:space="preserve">Mo–Fr 8:00–20:00, Sa 9:00–15:00</t>
  </si>
  <si>
    <t xml:space="preserve">Samstags offen, Rehasport und Gerätetraining</t>
  </si>
  <si>
    <t xml:space="preserve">Physiotherapie Poll – M. Temp</t>
  </si>
  <si>
    <t xml:space="preserve">Siegburger Straße 355</t>
  </si>
  <si>
    <t xml:space="preserve">+49 221 8302404</t>
  </si>
  <si>
    <t xml:space="preserve">Durchgehend gleicher Therapeut, Schwangerschaft</t>
  </si>
  <si>
    <t xml:space="preserve">Praxis Silvia Weiss Brummer</t>
  </si>
  <si>
    <t xml:space="preserve">Siegburger Straße 363</t>
  </si>
  <si>
    <t xml:space="preserve">+49 221 8307159</t>
  </si>
  <si>
    <t xml:space="preserve">Osteopathie, Schulter nach Fraktur</t>
  </si>
  <si>
    <t xml:space="preserve">Physiotherapie Flügge</t>
  </si>
  <si>
    <t xml:space="preserve">Siebengebirgsallee 49</t>
  </si>
  <si>
    <t xml:space="preserve">51147</t>
  </si>
  <si>
    <t xml:space="preserve">+49 2203 66156</t>
  </si>
  <si>
    <t xml:space="preserve">Mo–Do 8:00–13:00 und 16:00–19:30</t>
  </si>
  <si>
    <t xml:space="preserve">Familienbetrieb, Akuttermine bei Schmerzen</t>
  </si>
  <si>
    <t xml:space="preserve">Physiowahn</t>
  </si>
  <si>
    <t xml:space="preserve">Wahn</t>
  </si>
  <si>
    <t xml:space="preserve">Albin-Köbis-Straße 3</t>
  </si>
  <si>
    <t xml:space="preserve">+49 2203 8006661</t>
  </si>
  <si>
    <t xml:space="preserve">Mo–Fr 9:00–17:00/19:00</t>
  </si>
  <si>
    <t xml:space="preserve">Kreuzband-Reha, sehr schnelle Terminvergabe</t>
  </si>
  <si>
    <t xml:space="preserve">re:Move Therapiezentrum</t>
  </si>
  <si>
    <t xml:space="preserve">Albin-Köbis-Straße 18</t>
  </si>
  <si>
    <t xml:space="preserve">+49 2203 9801530</t>
  </si>
  <si>
    <t xml:space="preserve">Physio + Osteo + Massage, auch Babys/Koliken</t>
  </si>
  <si>
    <t xml:space="preserve">Bayenthal-Physio Janek Rijntjes</t>
  </si>
  <si>
    <t xml:space="preserve">Bayenthal</t>
  </si>
  <si>
    <t xml:space="preserve">Rodenkirchen</t>
  </si>
  <si>
    <t xml:space="preserve">Goltsteinstraße 140</t>
  </si>
  <si>
    <t xml:space="preserve">50968</t>
  </si>
  <si>
    <t xml:space="preserve">+49 221 4500220</t>
  </si>
  <si>
    <t xml:space="preserve">Mo–Fr 8:00/9:00–17:00/19:00</t>
  </si>
  <si>
    <t xml:space="preserve">Manuelle Therapie, Craniosacral, Massage</t>
  </si>
  <si>
    <t xml:space="preserve">PHYSIO CKI – Köln Bayenthal</t>
  </si>
  <si>
    <t xml:space="preserve">Goltsteinstraße 89</t>
  </si>
  <si>
    <t xml:space="preserve">+49 221 66397505</t>
  </si>
  <si>
    <t xml:space="preserve">Zuverlässig Abendtermine, gleicher Therapeut</t>
  </si>
  <si>
    <t xml:space="preserve">Physical Performance FM</t>
  </si>
  <si>
    <t xml:space="preserve">Bonner Straße 312</t>
  </si>
  <si>
    <t xml:space="preserve">+49 221 57009266</t>
  </si>
  <si>
    <t xml:space="preserve">Mo–Fr 7:00–21:00</t>
  </si>
  <si>
    <t xml:space="preserve">Sport- und Trainingsverletzungen, bis 21 Uhr</t>
  </si>
  <si>
    <t xml:space="preserve">PhysioTeamSüd</t>
  </si>
  <si>
    <t xml:space="preserve">Godorf</t>
  </si>
  <si>
    <t xml:space="preserve">Ober Buschweg 18</t>
  </si>
  <si>
    <t xml:space="preserve">50999</t>
  </si>
  <si>
    <t xml:space="preserve">+49 2236 963636</t>
  </si>
  <si>
    <t xml:space="preserve">Mo–Do 8:30–15:00, teils abends</t>
  </si>
  <si>
    <t xml:space="preserve">Frakturnachsorge; Erreichbarkeit teils schwierig</t>
  </si>
  <si>
    <t xml:space="preserve">Praxis Lieblingsbewegung</t>
  </si>
  <si>
    <t xml:space="preserve">Wesselinger Straße 4a</t>
  </si>
  <si>
    <t xml:space="preserve">+49 2236 3314281</t>
  </si>
  <si>
    <t xml:space="preserve">Mo–Do 8:00–18:00, Fr bis 15:00</t>
  </si>
  <si>
    <t xml:space="preserve">Kleine Praxis</t>
  </si>
  <si>
    <t xml:space="preserve">Panthio Premium Health Club</t>
  </si>
  <si>
    <t xml:space="preserve">Marienburg</t>
  </si>
  <si>
    <t xml:space="preserve">Marienburger Straße 22</t>
  </si>
  <si>
    <t xml:space="preserve">+49 221 98047449</t>
  </si>
  <si>
    <t xml:space="preserve">Physio plus Training und Regeneration, Premium-Segment</t>
  </si>
  <si>
    <t xml:space="preserve">Physiotherapie Kurbad Marienburg</t>
  </si>
  <si>
    <t xml:space="preserve">Marienburger Straße 70</t>
  </si>
  <si>
    <t xml:space="preserve">+49 221 34668588</t>
  </si>
  <si>
    <t xml:space="preserve">Mo–Do 8:00–20:00, Fr bis 18:00</t>
  </si>
  <si>
    <t xml:space="preserve">Manuelle Therapie; keine Geräte, Erreichbarkeit schwierig</t>
  </si>
  <si>
    <t xml:space="preserve">MEDIFIT Therapiezentrum</t>
  </si>
  <si>
    <t xml:space="preserve">An der Wachsfabrik 3</t>
  </si>
  <si>
    <t xml:space="preserve">50996</t>
  </si>
  <si>
    <t xml:space="preserve">+49 2236 69474</t>
  </si>
  <si>
    <t xml:space="preserve">Mo–Fr 8:00–21:00, So 9:30–16:00</t>
  </si>
  <si>
    <t xml:space="preserve">Sonntags offen, Therapie plus Monatsmitgliedschaft</t>
  </si>
  <si>
    <t xml:space="preserve">NOVOTERGUM Physio &amp; Ergotherapie Rodenkirchen</t>
  </si>
  <si>
    <t xml:space="preserve">Konrad-Adenauer-Straße 25</t>
  </si>
  <si>
    <t xml:space="preserve">+49 221 9924411</t>
  </si>
  <si>
    <t xml:space="preserve">Mo–Fr bis 21:00, Sa 9:00–16:00</t>
  </si>
  <si>
    <t xml:space="preserve">Samstags offen, Physio + Ergo, Langzeitverordnungen</t>
  </si>
  <si>
    <t xml:space="preserve">PHYSIO CKI – Köln Rodenkirchen</t>
  </si>
  <si>
    <t xml:space="preserve">Hauptstraße 122-124</t>
  </si>
  <si>
    <t xml:space="preserve">+49 221 37775115</t>
  </si>
  <si>
    <t xml:space="preserve">Schnelle Termine; wechselnde Therapeuten</t>
  </si>
  <si>
    <t xml:space="preserve">PhysioSport Köln Rodenkirchen</t>
  </si>
  <si>
    <t xml:space="preserve">Ringstraße 16</t>
  </si>
  <si>
    <t xml:space="preserve">+49 221 2228590</t>
  </si>
  <si>
    <t xml:space="preserve">Pünktlich, Erinnerungsmail; bei Absagen wenig flexibel</t>
  </si>
  <si>
    <t xml:space="preserve">myPhysio Physiotherapie Rodenkirchen</t>
  </si>
  <si>
    <t xml:space="preserve">Hauptstraße 71-73</t>
  </si>
  <si>
    <t xml:space="preserve">+49 221 98656275</t>
  </si>
  <si>
    <t xml:space="preserve">Modern, viel Zeit pro Termin</t>
  </si>
  <si>
    <t xml:space="preserve">Physiotherapie Johanna Jochem</t>
  </si>
  <si>
    <t xml:space="preserve">Sürth</t>
  </si>
  <si>
    <t xml:space="preserve">Sürther Hauptstraße 85A</t>
  </si>
  <si>
    <t xml:space="preserve">+49 163 8743360</t>
  </si>
  <si>
    <t xml:space="preserve">Mo 8:00–19:00, Mi/Fr 15:00–18:00</t>
  </si>
  <si>
    <t xml:space="preserve">Traumasensibel, ganzheitlich; wenige Öffnungstage</t>
  </si>
  <si>
    <t xml:space="preserve">Physiotherapie Praxis Ralf Nölle</t>
  </si>
  <si>
    <t xml:space="preserve">Sürther Hauptstraße 47</t>
  </si>
  <si>
    <t xml:space="preserve">+49 2236 68754</t>
  </si>
  <si>
    <t xml:space="preserve">Mo–Fr 7:30–20:00 (Mittagspause)</t>
  </si>
  <si>
    <t xml:space="preserve">Traditionsbetrieb, oft Akuttermine</t>
  </si>
  <si>
    <t xml:space="preserve">Privatpraxis Sürth – Stefanie Grueter</t>
  </si>
  <si>
    <t xml:space="preserve">Sürther Hauptstraße 137a</t>
  </si>
  <si>
    <t xml:space="preserve">+49 2236 8707585</t>
  </si>
  <si>
    <t xml:space="preserve">Mo/Mi/Do/Fr nachmittags</t>
  </si>
  <si>
    <t xml:space="preserve">Privatpraxis</t>
  </si>
  <si>
    <t xml:space="preserve">Frank Reintgen Krankengymnastik</t>
  </si>
  <si>
    <t xml:space="preserve">Weiß</t>
  </si>
  <si>
    <t xml:space="preserve">Weißer Hauptstraße 99</t>
  </si>
  <si>
    <t xml:space="preserve">+49 2236 389494</t>
  </si>
  <si>
    <t xml:space="preserve">Osteopathie, lange Einzeltermine</t>
  </si>
  <si>
    <t xml:space="preserve">Physio² Köln Weiß – Mobile Physiotherapie</t>
  </si>
  <si>
    <t xml:space="preserve">Im Garten 10</t>
  </si>
  <si>
    <t xml:space="preserve">Mobile Physiotherapie / Hausbesuche</t>
  </si>
  <si>
    <t xml:space="preserve">EGO – Praxis für Physiotherapie &amp; Massage</t>
  </si>
  <si>
    <t xml:space="preserve">Zollstock</t>
  </si>
  <si>
    <t xml:space="preserve">Höninger Weg 294-296</t>
  </si>
  <si>
    <t xml:space="preserve">50969</t>
  </si>
  <si>
    <t xml:space="preserve">+49 221 29815004</t>
  </si>
  <si>
    <t xml:space="preserve">Mo–Fr bis 20:30, Sa 9:00–15:00</t>
  </si>
  <si>
    <t xml:space="preserve">Samstags offen, bis 20:30; Absageregeln streng</t>
  </si>
  <si>
    <t xml:space="preserve">PhysioZentrum Köln-Zollstock</t>
  </si>
  <si>
    <t xml:space="preserve">Bernhard-Feilchenfeld-Straße 11</t>
  </si>
  <si>
    <t xml:space="preserve">+49 221 3604077</t>
  </si>
  <si>
    <t xml:space="preserve">Mo–Do 7:30–20:00, Fr 7:00–18:00</t>
  </si>
  <si>
    <t xml:space="preserve">Linie 12 vor der Tür; strenge Ausfallgebühr</t>
  </si>
  <si>
    <t xml:space="preserve">Physiotherapie Thimm (M.Sc.)</t>
  </si>
  <si>
    <t xml:space="preserve">Zollstockgürtel 35</t>
  </si>
  <si>
    <t xml:space="preserve">+49 221 78946479</t>
  </si>
  <si>
    <t xml:space="preserve">Manuelle Therapie; Räume etwas in die Jahre gekommen</t>
  </si>
  <si>
    <t xml:space="preserve">Therapiezentrum Rohan</t>
  </si>
  <si>
    <t xml:space="preserve">Homburger Straße 22</t>
  </si>
  <si>
    <t xml:space="preserve">+49 1578 3448125</t>
  </si>
  <si>
    <t xml:space="preserve">Mo–Fr 8:30–19:00</t>
  </si>
  <si>
    <t xml:space="preserve">Massage und Physio, gut mit ÖPNV erreichbar</t>
  </si>
  <si>
    <t xml:space="preserve">myPhysio Physiotherapie Zollstock</t>
  </si>
  <si>
    <t xml:space="preserve">Karlheinz-Steimel-Weg 1a</t>
  </si>
  <si>
    <t xml:space="preserve">+49 221 95016610</t>
  </si>
  <si>
    <t xml:space="preserve">milon-Gerätetraining, Rheuma und Sprunggelenk</t>
  </si>
  <si>
    <t xml:space="preserve">NOVOTERGUM Physiotherapie Bergisch Gladbach</t>
  </si>
  <si>
    <t xml:space="preserve">Bergisch Gladbach</t>
  </si>
  <si>
    <t xml:space="preserve">Umland</t>
  </si>
  <si>
    <t xml:space="preserve">Hauptstraße 136-140</t>
  </si>
  <si>
    <t xml:space="preserve">51465</t>
  </si>
  <si>
    <t xml:space="preserve">+49 2202 2938788</t>
  </si>
  <si>
    <t xml:space="preserve">Einzelräume, eGym, Lipödem und Kiefer</t>
  </si>
  <si>
    <t xml:space="preserve">Physiokinetic Praxis für Physiotherapie</t>
  </si>
  <si>
    <t xml:space="preserve">Hauptstraße 124</t>
  </si>
  <si>
    <t xml:space="preserve">+49 2202 9262520</t>
  </si>
  <si>
    <t xml:space="preserve">Bandscheibe, Nacken; sehr flexibel</t>
  </si>
  <si>
    <t xml:space="preserve">Private Physiotherapie Pily Bayo Prieto</t>
  </si>
  <si>
    <t xml:space="preserve">Richard-Zanders-Straße 8-10</t>
  </si>
  <si>
    <t xml:space="preserve">+49 160 93013831</t>
  </si>
  <si>
    <t xml:space="preserve">Di–Do 8:00–19:00, Fr bis 13:00</t>
  </si>
  <si>
    <t xml:space="preserve">Privatpraxis, Knie-TEP, Schwindel; Mo geschlossen</t>
  </si>
  <si>
    <t xml:space="preserve">SPORTHICUM – Das Therapiezentrum</t>
  </si>
  <si>
    <t xml:space="preserve">Gronauer Mühlenweg 3</t>
  </si>
  <si>
    <t xml:space="preserve">+49 2202 9816117</t>
  </si>
  <si>
    <t xml:space="preserve">Sportphysio, Marathonbetreuung</t>
  </si>
  <si>
    <t xml:space="preserve">Schreiner &amp; Hellmich Physiotherapie</t>
  </si>
  <si>
    <t xml:space="preserve">Johann-Wilhelm-Lindlar-Straße 17</t>
  </si>
  <si>
    <t xml:space="preserve">+49 2202 39088</t>
  </si>
  <si>
    <t xml:space="preserve">Mo–Do 7:30–19:00, Fr bis 16:00</t>
  </si>
  <si>
    <t xml:space="preserve">Zentrale Lage; 24-Stunden-Absageregel</t>
  </si>
  <si>
    <t xml:space="preserve">PhysioTask Bensberg</t>
  </si>
  <si>
    <t xml:space="preserve">Bergisch Gladbach-Bensberg</t>
  </si>
  <si>
    <t xml:space="preserve">Schloßstraße 34</t>
  </si>
  <si>
    <t xml:space="preserve">51429</t>
  </si>
  <si>
    <t xml:space="preserve">+49 2204 9676622</t>
  </si>
  <si>
    <t xml:space="preserve">Mo–Do bis 17:30/20:30, Fr bis 15:00</t>
  </si>
  <si>
    <t xml:space="preserve">Abendtermine Di und Do</t>
  </si>
  <si>
    <t xml:space="preserve">PHYSIODENS CKI Brühl</t>
  </si>
  <si>
    <t xml:space="preserve">Brühl</t>
  </si>
  <si>
    <t xml:space="preserve">Kölnstraße 108-110</t>
  </si>
  <si>
    <t xml:space="preserve">50321</t>
  </si>
  <si>
    <t xml:space="preserve">+49 2232 9391000</t>
  </si>
  <si>
    <t xml:space="preserve">Rückenfit-Kurse, Fußnachsorge</t>
  </si>
  <si>
    <t xml:space="preserve">PhysioPunkt Brühl</t>
  </si>
  <si>
    <t xml:space="preserve">Comesstraße 1-15</t>
  </si>
  <si>
    <t xml:space="preserve">+49 2232 1506061</t>
  </si>
  <si>
    <t xml:space="preserve">Mo–Do 8:00–20:00, Sa 9:00–12:00</t>
  </si>
  <si>
    <t xml:space="preserve">Samstags offen, Lymphdrainage</t>
  </si>
  <si>
    <t xml:space="preserve">Physiotherapie Brühl – cmp Christina Milster</t>
  </si>
  <si>
    <t xml:space="preserve">Balthasar-Neumann-Platz 1</t>
  </si>
  <si>
    <t xml:space="preserve">+49 2232 2063730</t>
  </si>
  <si>
    <t xml:space="preserve">Mo–Do bis 19:00/19:30, Fr bis 14:00</t>
  </si>
  <si>
    <t xml:space="preserve">Stoßwellentherapie, englischsprachig</t>
  </si>
  <si>
    <t xml:space="preserve">Plus Physio Brühl</t>
  </si>
  <si>
    <t xml:space="preserve">Euskirchener Straße 114</t>
  </si>
  <si>
    <t xml:space="preserve">+49 2232 5007269</t>
  </si>
  <si>
    <t xml:space="preserve">Mo–Fr 7:30/9:00–16:00/18:00</t>
  </si>
  <si>
    <t xml:space="preserve">Sehr gute Erreichbarkeit, Rückenschule</t>
  </si>
  <si>
    <t xml:space="preserve">myPhysio 2.0 Praxis für Physiotherapie</t>
  </si>
  <si>
    <t xml:space="preserve">Mühlenstraße 37</t>
  </si>
  <si>
    <t xml:space="preserve">+49 2232 7697748</t>
  </si>
  <si>
    <t xml:space="preserve">Samstags offen, neue Geräte, Knie/PFPS</t>
  </si>
  <si>
    <t xml:space="preserve">Beweglichmacher Frechen</t>
  </si>
  <si>
    <t xml:space="preserve">Frechen</t>
  </si>
  <si>
    <t xml:space="preserve">Augustinusstraße 11c</t>
  </si>
  <si>
    <t xml:space="preserve">50226</t>
  </si>
  <si>
    <t xml:space="preserve">+49 2234 9898428</t>
  </si>
  <si>
    <t xml:space="preserve">Neurologie/Schlaganfall-Reha, Termine per Mail</t>
  </si>
  <si>
    <t xml:space="preserve">Praxis Tim Jaspers &amp; Gabi Pusch</t>
  </si>
  <si>
    <t xml:space="preserve">Alfred-Nobel-Straße 50-52</t>
  </si>
  <si>
    <t xml:space="preserve">+49 2234 12209</t>
  </si>
  <si>
    <t xml:space="preserve">Physio + Ergo, Atemphysiotherapie</t>
  </si>
  <si>
    <t xml:space="preserve">Praxis für Physiotherapie Esch</t>
  </si>
  <si>
    <t xml:space="preserve">Hauptstraße 170</t>
  </si>
  <si>
    <t xml:space="preserve">+49 2234 13850</t>
  </si>
  <si>
    <t xml:space="preserve">Sehr gute Terminorganisation, kaum Wartezeit</t>
  </si>
  <si>
    <t xml:space="preserve">Praxis PhysioMed Mols &amp; Opp</t>
  </si>
  <si>
    <t xml:space="preserve">Frechen-Buschbell</t>
  </si>
  <si>
    <t xml:space="preserve">Im Putzgarten 1</t>
  </si>
  <si>
    <t xml:space="preserve">+49 2234 951466</t>
  </si>
  <si>
    <t xml:space="preserve">Mo–Do 8:00/9:00–19:00, Fr geschlossen</t>
  </si>
  <si>
    <t xml:space="preserve">Kreuzband-Reha; freitags zu</t>
  </si>
  <si>
    <t xml:space="preserve">Physiotherapie Patricia Goßlau</t>
  </si>
  <si>
    <t xml:space="preserve">Frechen-Königsdorf</t>
  </si>
  <si>
    <t xml:space="preserve">Aachener Straße 645</t>
  </si>
  <si>
    <t xml:space="preserve">+49 2234 9799223</t>
  </si>
  <si>
    <t xml:space="preserve">Mo–Fr ab 6:30 bis 18:30</t>
  </si>
  <si>
    <t xml:space="preserve">Sehr frühe Termine, Knie-TEP-Nachsorge</t>
  </si>
  <si>
    <t xml:space="preserve">Therapiezentrum Königsdorf</t>
  </si>
  <si>
    <t xml:space="preserve">Aachener Straße 644</t>
  </si>
  <si>
    <t xml:space="preserve">+49 2234 9518500</t>
  </si>
  <si>
    <t xml:space="preserve">Mo–Do 8:00–20:00, Fr bis 17:00</t>
  </si>
  <si>
    <t xml:space="preserve">Neubau, Parkplätze, oft Termin am selben Tag</t>
  </si>
  <si>
    <t xml:space="preserve">Beweglichmacher Hürth</t>
  </si>
  <si>
    <t xml:space="preserve">Hürth</t>
  </si>
  <si>
    <t xml:space="preserve">Beselerstraße 1</t>
  </si>
  <si>
    <t xml:space="preserve">50354</t>
  </si>
  <si>
    <t xml:space="preserve">+49 2233 3778050</t>
  </si>
  <si>
    <t xml:space="preserve">Mo–Do 7:00–20:00, Fr bis 14:00</t>
  </si>
  <si>
    <t xml:space="preserve">Große Praxis; Termine teils verkürzt</t>
  </si>
  <si>
    <t xml:space="preserve">Physiotherapie Hürth – Kristina Nachreiner</t>
  </si>
  <si>
    <t xml:space="preserve">Alfred-Delp-Straße 1</t>
  </si>
  <si>
    <t xml:space="preserve">+49 2233 792121</t>
  </si>
  <si>
    <t xml:space="preserve">Mo–Do bis 20:00, Fr bis 16:00</t>
  </si>
  <si>
    <t xml:space="preserve">Hausbesuche, Lymphdrainage nach OP</t>
  </si>
  <si>
    <t xml:space="preserve">Physiotherapie Hürth – Kristina Nachreiner (2)</t>
  </si>
  <si>
    <t xml:space="preserve">Breite Straße 26</t>
  </si>
  <si>
    <t xml:space="preserve">+49 2233 7135006</t>
  </si>
  <si>
    <t xml:space="preserve">Zweiter Standort, Hausbesuche</t>
  </si>
  <si>
    <t xml:space="preserve">Praxis Stefan Knobloch</t>
  </si>
  <si>
    <t xml:space="preserve">Esserstraße 20</t>
  </si>
  <si>
    <t xml:space="preserve">+49 2233 7060450</t>
  </si>
  <si>
    <t xml:space="preserve">Mo/Mi/Fr 8:00–18:00, Di/Do 10:00–20:00</t>
  </si>
  <si>
    <t xml:space="preserve">Manuelle Therapie; Parken am Renneberg</t>
  </si>
  <si>
    <t xml:space="preserve">Haus der Harmonie</t>
  </si>
  <si>
    <t xml:space="preserve">Hürth-Efferen</t>
  </si>
  <si>
    <t xml:space="preserve">Bourtscheidstraße 1A</t>
  </si>
  <si>
    <t xml:space="preserve">+49 2233 6270923</t>
  </si>
  <si>
    <t xml:space="preserve">Physio + Rehabilitation, viel Anleitung für zuhause</t>
  </si>
  <si>
    <t xml:space="preserve">KINEO Physiotherapie</t>
  </si>
  <si>
    <t xml:space="preserve">Luxemburger Straße 79-83</t>
  </si>
  <si>
    <t xml:space="preserve">+49 2233 8050993</t>
  </si>
  <si>
    <t xml:space="preserve">Sehr pünktlich, gleicher Therapeut</t>
  </si>
  <si>
    <t xml:space="preserve">Entspann Dich – Massage &amp; Physiotherapie</t>
  </si>
  <si>
    <t xml:space="preserve">Leverkusen</t>
  </si>
  <si>
    <t xml:space="preserve">Europa-Allee 124</t>
  </si>
  <si>
    <t xml:space="preserve">51379</t>
  </si>
  <si>
    <t xml:space="preserve">+49 15679 634571</t>
  </si>
  <si>
    <t xml:space="preserve">Mi 17:00–20:00, Sa/So mittags</t>
  </si>
  <si>
    <t xml:space="preserve">Wochenendtermine, ohne Rezept möglich</t>
  </si>
  <si>
    <t xml:space="preserve">PhysioVital Can &amp; Vida</t>
  </si>
  <si>
    <t xml:space="preserve">Am Frankenberg 13</t>
  </si>
  <si>
    <t xml:space="preserve">+49 2171 3662513</t>
  </si>
  <si>
    <t xml:space="preserve">Mo–Do 8:00–18:30, Fr bis 15:00</t>
  </si>
  <si>
    <t xml:space="preserve">Lymphdrainage, Körpertraining</t>
  </si>
  <si>
    <t xml:space="preserve">Physiotherapie am Fürstenbergplatz</t>
  </si>
  <si>
    <t xml:space="preserve">Fürstenbergplatz 4</t>
  </si>
  <si>
    <t xml:space="preserve">+49 2171 41911</t>
  </si>
  <si>
    <t xml:space="preserve">Mo–Do 8:00–20:00, Sa 8:00–15:00</t>
  </si>
  <si>
    <t xml:space="preserve">Samstags offen, Akutschmerz wird priorisiert</t>
  </si>
  <si>
    <t xml:space="preserve">Stützpunkt Physiotherapie Jens Görres</t>
  </si>
  <si>
    <t xml:space="preserve">Sandstraße 27</t>
  </si>
  <si>
    <t xml:space="preserve">+49 172 5376817</t>
  </si>
  <si>
    <t xml:space="preserve">Manuelle Therapie, Schwindel; Buchung über Doctolib</t>
  </si>
  <si>
    <t xml:space="preserve">Vogelzang &amp; Schneider Physiotherapie</t>
  </si>
  <si>
    <t xml:space="preserve">Düsseldorfer Straße 14</t>
  </si>
  <si>
    <t xml:space="preserve">+49 2171 27778</t>
  </si>
  <si>
    <t xml:space="preserve">Mo–Do 7:00–18:00/19:00, Fr bis 15:00</t>
  </si>
  <si>
    <t xml:space="preserve">Hausbesuche</t>
  </si>
  <si>
    <t xml:space="preserve">Invictus Physiotherapie Leverkusen</t>
  </si>
  <si>
    <t xml:space="preserve">Leverkusen-Opladen</t>
  </si>
  <si>
    <t xml:space="preserve">An der Fuchskuhl 9b</t>
  </si>
  <si>
    <t xml:space="preserve">+49 2171 7051894</t>
  </si>
  <si>
    <t xml:space="preserve">Große Trainingsfläche, Reha nach Verletzung</t>
  </si>
  <si>
    <t xml:space="preserve">Übersicht: Anzahl Praxen je Bezirk / Region</t>
  </si>
  <si>
    <t xml:space="preserve">Anzahl Praxen</t>
  </si>
  <si>
    <t xml:space="preserve">Ø Bewertung</t>
  </si>
  <si>
    <t xml:space="preserve">Gesamt</t>
  </si>
  <si>
    <t xml:space="preserve">Quelle: Google-Places-Recherche, Stand 26.07.2026. Bewertungen und Öffnungszeiten sind Momentaufnahmen.</t>
  </si>
  <si>
    <t xml:space="preserve">Die Liste ist eine breite Auswahl, keine amtliche Vollerfassung. Für ein komplettes Verzeichnis:</t>
  </si>
  <si>
    <t xml:space="preserve">  • physio-deutschland.de → Therapeutensuche (Verband, filterbar nach PLZ und Spezialisierung)</t>
  </si>
  <si>
    <t xml:space="preserve">  • Therapeutensuche der eigenen Krankenkasse (zeigt, wer Kassenverordnungen abrechnet)</t>
  </si>
  <si>
    <t xml:space="preserve">Leere Bewertungsfelder = bei Google (noch) keine Bewertungen vorhanden.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</si>
</sst>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"/>
    <numFmt numFmtId="168" formatCode="General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1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9"/>
    <col collapsed="false" customWidth="true" hidden="false" outlineLevel="0" max="9" min="8" style="0" width="13"/>
    <col collapsed="false" customWidth="true" hidden="false" outlineLevel="0" max="10" min="10" style="0" width="34"/>
    <col collapsed="false" customWidth="true" hidden="false" outlineLevel="0" max="11" min="11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4" t="s">
        <v>12</v>
      </c>
      <c r="D2" s="4" t="s">
        <v>12</v>
      </c>
      <c r="E2" s="3" t="s">
        <v>13</v>
      </c>
      <c r="F2" s="5" t="s">
        <v>14</v>
      </c>
      <c r="G2" s="4" t="s">
        <v>15</v>
      </c>
      <c r="H2" s="6" t="n">
        <v>4.5</v>
      </c>
      <c r="I2" s="7" t="n">
        <v>11</v>
      </c>
      <c r="J2" s="3" t="s">
        <v>16</v>
      </c>
      <c r="K2" s="3" t="s">
        <v>17</v>
      </c>
    </row>
    <row r="3" customFormat="false" ht="15" hidden="false" customHeight="false" outlineLevel="0" collapsed="false">
      <c r="A3" s="8" t="n">
        <v>2</v>
      </c>
      <c r="B3" s="9" t="s">
        <v>18</v>
      </c>
      <c r="C3" s="10" t="s">
        <v>12</v>
      </c>
      <c r="D3" s="10" t="s">
        <v>12</v>
      </c>
      <c r="E3" s="9" t="s">
        <v>19</v>
      </c>
      <c r="F3" s="11" t="s">
        <v>14</v>
      </c>
      <c r="G3" s="10" t="s">
        <v>20</v>
      </c>
      <c r="H3" s="12" t="n">
        <v>4.8</v>
      </c>
      <c r="I3" s="13" t="n">
        <v>10</v>
      </c>
      <c r="J3" s="9" t="s">
        <v>21</v>
      </c>
      <c r="K3" s="9" t="s">
        <v>22</v>
      </c>
    </row>
    <row r="4" customFormat="false" ht="15" hidden="false" customHeight="false" outlineLevel="0" collapsed="false">
      <c r="A4" s="2" t="n">
        <v>3</v>
      </c>
      <c r="B4" s="3" t="s">
        <v>23</v>
      </c>
      <c r="C4" s="4" t="s">
        <v>24</v>
      </c>
      <c r="D4" s="4" t="s">
        <v>12</v>
      </c>
      <c r="E4" s="3" t="s">
        <v>25</v>
      </c>
      <c r="F4" s="5" t="s">
        <v>14</v>
      </c>
      <c r="G4" s="4" t="s">
        <v>26</v>
      </c>
      <c r="H4" s="6" t="n">
        <v>4.3</v>
      </c>
      <c r="I4" s="7" t="n">
        <v>26</v>
      </c>
      <c r="J4" s="3" t="s">
        <v>27</v>
      </c>
      <c r="K4" s="3" t="s">
        <v>28</v>
      </c>
    </row>
    <row r="5" customFormat="false" ht="23.85" hidden="false" customHeight="false" outlineLevel="0" collapsed="false">
      <c r="A5" s="8" t="n">
        <v>4</v>
      </c>
      <c r="B5" s="9" t="s">
        <v>29</v>
      </c>
      <c r="C5" s="10" t="s">
        <v>30</v>
      </c>
      <c r="D5" s="10" t="s">
        <v>12</v>
      </c>
      <c r="E5" s="9" t="s">
        <v>31</v>
      </c>
      <c r="F5" s="11" t="s">
        <v>32</v>
      </c>
      <c r="G5" s="10" t="s">
        <v>33</v>
      </c>
      <c r="H5" s="12" t="n">
        <v>4.6</v>
      </c>
      <c r="I5" s="13" t="n">
        <v>70</v>
      </c>
      <c r="J5" s="9" t="s">
        <v>34</v>
      </c>
      <c r="K5" s="9" t="s">
        <v>35</v>
      </c>
    </row>
    <row r="6" customFormat="false" ht="15" hidden="false" customHeight="false" outlineLevel="0" collapsed="false">
      <c r="A6" s="2" t="n">
        <v>5</v>
      </c>
      <c r="B6" s="3" t="s">
        <v>36</v>
      </c>
      <c r="C6" s="4" t="s">
        <v>30</v>
      </c>
      <c r="D6" s="4" t="s">
        <v>12</v>
      </c>
      <c r="E6" s="3" t="s">
        <v>37</v>
      </c>
      <c r="F6" s="5" t="s">
        <v>38</v>
      </c>
      <c r="G6" s="4" t="s">
        <v>39</v>
      </c>
      <c r="H6" s="6" t="n">
        <v>5</v>
      </c>
      <c r="I6" s="7" t="n">
        <v>4</v>
      </c>
      <c r="J6" s="3" t="s">
        <v>40</v>
      </c>
      <c r="K6" s="3" t="s">
        <v>41</v>
      </c>
    </row>
    <row r="7" customFormat="false" ht="23.85" hidden="false" customHeight="false" outlineLevel="0" collapsed="false">
      <c r="A7" s="8" t="n">
        <v>6</v>
      </c>
      <c r="B7" s="9" t="s">
        <v>42</v>
      </c>
      <c r="C7" s="10" t="s">
        <v>43</v>
      </c>
      <c r="D7" s="10" t="s">
        <v>12</v>
      </c>
      <c r="E7" s="9" t="s">
        <v>44</v>
      </c>
      <c r="F7" s="11" t="s">
        <v>38</v>
      </c>
      <c r="G7" s="10" t="s">
        <v>45</v>
      </c>
      <c r="H7" s="12" t="n">
        <v>4.9</v>
      </c>
      <c r="I7" s="13" t="n">
        <v>59</v>
      </c>
      <c r="J7" s="9" t="s">
        <v>46</v>
      </c>
      <c r="K7" s="9" t="s">
        <v>47</v>
      </c>
    </row>
    <row r="8" customFormat="false" ht="15" hidden="false" customHeight="false" outlineLevel="0" collapsed="false">
      <c r="A8" s="2" t="n">
        <v>7</v>
      </c>
      <c r="B8" s="3" t="s">
        <v>48</v>
      </c>
      <c r="C8" s="4" t="s">
        <v>43</v>
      </c>
      <c r="D8" s="4" t="s">
        <v>12</v>
      </c>
      <c r="E8" s="3" t="s">
        <v>49</v>
      </c>
      <c r="F8" s="5" t="s">
        <v>38</v>
      </c>
      <c r="G8" s="4" t="s">
        <v>50</v>
      </c>
      <c r="H8" s="6" t="n">
        <v>4.8</v>
      </c>
      <c r="I8" s="7" t="n">
        <v>5</v>
      </c>
      <c r="J8" s="3" t="s">
        <v>51</v>
      </c>
      <c r="K8" s="3" t="s">
        <v>52</v>
      </c>
    </row>
    <row r="9" customFormat="false" ht="15" hidden="false" customHeight="false" outlineLevel="0" collapsed="false">
      <c r="A9" s="8" t="n">
        <v>8</v>
      </c>
      <c r="B9" s="9" t="s">
        <v>53</v>
      </c>
      <c r="C9" s="10" t="s">
        <v>54</v>
      </c>
      <c r="D9" s="10" t="s">
        <v>12</v>
      </c>
      <c r="E9" s="9" t="s">
        <v>55</v>
      </c>
      <c r="F9" s="11" t="s">
        <v>32</v>
      </c>
      <c r="G9" s="10" t="s">
        <v>56</v>
      </c>
      <c r="H9" s="12" t="n">
        <v>4.7</v>
      </c>
      <c r="I9" s="13" t="n">
        <v>30</v>
      </c>
      <c r="J9" s="9" t="s">
        <v>46</v>
      </c>
      <c r="K9" s="9" t="s">
        <v>57</v>
      </c>
    </row>
    <row r="10" customFormat="false" ht="15" hidden="false" customHeight="false" outlineLevel="0" collapsed="false">
      <c r="A10" s="2" t="n">
        <v>9</v>
      </c>
      <c r="B10" s="3" t="s">
        <v>58</v>
      </c>
      <c r="C10" s="4" t="s">
        <v>59</v>
      </c>
      <c r="D10" s="4" t="s">
        <v>59</v>
      </c>
      <c r="E10" s="3" t="s">
        <v>60</v>
      </c>
      <c r="F10" s="5" t="s">
        <v>61</v>
      </c>
      <c r="G10" s="4" t="s">
        <v>62</v>
      </c>
      <c r="H10" s="6" t="n">
        <v>4.8</v>
      </c>
      <c r="I10" s="7" t="n">
        <v>81</v>
      </c>
      <c r="J10" s="3" t="s">
        <v>63</v>
      </c>
      <c r="K10" s="3" t="s">
        <v>64</v>
      </c>
    </row>
    <row r="11" customFormat="false" ht="15" hidden="false" customHeight="false" outlineLevel="0" collapsed="false">
      <c r="A11" s="8" t="n">
        <v>10</v>
      </c>
      <c r="B11" s="9" t="s">
        <v>65</v>
      </c>
      <c r="C11" s="10" t="s">
        <v>59</v>
      </c>
      <c r="D11" s="10" t="s">
        <v>59</v>
      </c>
      <c r="E11" s="9" t="s">
        <v>66</v>
      </c>
      <c r="F11" s="11" t="s">
        <v>61</v>
      </c>
      <c r="G11" s="10" t="s">
        <v>67</v>
      </c>
      <c r="H11" s="12" t="n">
        <v>4.8</v>
      </c>
      <c r="I11" s="13" t="n">
        <v>93</v>
      </c>
      <c r="J11" s="9" t="s">
        <v>40</v>
      </c>
      <c r="K11" s="9" t="s">
        <v>68</v>
      </c>
    </row>
    <row r="12" customFormat="false" ht="15" hidden="false" customHeight="false" outlineLevel="0" collapsed="false">
      <c r="A12" s="2" t="n">
        <v>11</v>
      </c>
      <c r="B12" s="3" t="s">
        <v>69</v>
      </c>
      <c r="C12" s="4" t="s">
        <v>59</v>
      </c>
      <c r="D12" s="4" t="s">
        <v>59</v>
      </c>
      <c r="E12" s="3" t="s">
        <v>70</v>
      </c>
      <c r="F12" s="5" t="s">
        <v>71</v>
      </c>
      <c r="G12" s="4" t="s">
        <v>72</v>
      </c>
      <c r="H12" s="6" t="n">
        <v>4.9</v>
      </c>
      <c r="I12" s="7" t="n">
        <v>176</v>
      </c>
      <c r="J12" s="3" t="s">
        <v>73</v>
      </c>
      <c r="K12" s="3" t="s">
        <v>74</v>
      </c>
    </row>
    <row r="13" customFormat="false" ht="15" hidden="false" customHeight="false" outlineLevel="0" collapsed="false">
      <c r="A13" s="8" t="n">
        <v>12</v>
      </c>
      <c r="B13" s="9" t="s">
        <v>75</v>
      </c>
      <c r="C13" s="10" t="s">
        <v>59</v>
      </c>
      <c r="D13" s="10" t="s">
        <v>59</v>
      </c>
      <c r="E13" s="9" t="s">
        <v>76</v>
      </c>
      <c r="F13" s="11" t="s">
        <v>61</v>
      </c>
      <c r="G13" s="10" t="s">
        <v>77</v>
      </c>
      <c r="H13" s="12" t="n">
        <v>4.8</v>
      </c>
      <c r="I13" s="13" t="n">
        <v>66</v>
      </c>
      <c r="J13" s="9" t="s">
        <v>78</v>
      </c>
      <c r="K13" s="9" t="s">
        <v>79</v>
      </c>
    </row>
    <row r="14" customFormat="false" ht="15" hidden="false" customHeight="false" outlineLevel="0" collapsed="false">
      <c r="A14" s="2" t="n">
        <v>13</v>
      </c>
      <c r="B14" s="3" t="s">
        <v>80</v>
      </c>
      <c r="C14" s="4" t="s">
        <v>59</v>
      </c>
      <c r="D14" s="4" t="s">
        <v>59</v>
      </c>
      <c r="E14" s="3" t="s">
        <v>81</v>
      </c>
      <c r="F14" s="5" t="s">
        <v>71</v>
      </c>
      <c r="G14" s="4" t="s">
        <v>82</v>
      </c>
      <c r="H14" s="6" t="n">
        <v>5</v>
      </c>
      <c r="I14" s="7" t="n">
        <v>11</v>
      </c>
      <c r="J14" s="3" t="s">
        <v>83</v>
      </c>
      <c r="K14" s="3" t="s">
        <v>84</v>
      </c>
    </row>
    <row r="15" customFormat="false" ht="15" hidden="false" customHeight="false" outlineLevel="0" collapsed="false">
      <c r="A15" s="8" t="n">
        <v>14</v>
      </c>
      <c r="B15" s="9" t="s">
        <v>85</v>
      </c>
      <c r="C15" s="10" t="s">
        <v>59</v>
      </c>
      <c r="D15" s="10" t="s">
        <v>59</v>
      </c>
      <c r="E15" s="9" t="s">
        <v>86</v>
      </c>
      <c r="F15" s="11" t="s">
        <v>61</v>
      </c>
      <c r="G15" s="10" t="s">
        <v>87</v>
      </c>
      <c r="H15" s="12" t="n">
        <v>4.8</v>
      </c>
      <c r="I15" s="13" t="n">
        <v>16</v>
      </c>
      <c r="J15" s="9" t="s">
        <v>88</v>
      </c>
      <c r="K15" s="9" t="s">
        <v>89</v>
      </c>
    </row>
    <row r="16" customFormat="false" ht="15" hidden="false" customHeight="false" outlineLevel="0" collapsed="false">
      <c r="A16" s="2" t="n">
        <v>15</v>
      </c>
      <c r="B16" s="3" t="s">
        <v>90</v>
      </c>
      <c r="C16" s="4" t="s">
        <v>59</v>
      </c>
      <c r="D16" s="4" t="s">
        <v>59</v>
      </c>
      <c r="E16" s="3" t="s">
        <v>91</v>
      </c>
      <c r="F16" s="5" t="s">
        <v>71</v>
      </c>
      <c r="G16" s="4" t="s">
        <v>92</v>
      </c>
      <c r="H16" s="6" t="n">
        <v>5</v>
      </c>
      <c r="I16" s="7" t="n">
        <v>242</v>
      </c>
      <c r="J16" s="3" t="s">
        <v>93</v>
      </c>
      <c r="K16" s="3" t="s">
        <v>94</v>
      </c>
    </row>
    <row r="17" customFormat="false" ht="15" hidden="false" customHeight="false" outlineLevel="0" collapsed="false">
      <c r="A17" s="8" t="n">
        <v>16</v>
      </c>
      <c r="B17" s="9" t="s">
        <v>95</v>
      </c>
      <c r="C17" s="10" t="s">
        <v>59</v>
      </c>
      <c r="D17" s="10" t="s">
        <v>59</v>
      </c>
      <c r="E17" s="9" t="s">
        <v>96</v>
      </c>
      <c r="F17" s="11" t="s">
        <v>61</v>
      </c>
      <c r="G17" s="10" t="s">
        <v>97</v>
      </c>
      <c r="H17" s="12" t="n">
        <v>5</v>
      </c>
      <c r="I17" s="13" t="n">
        <v>29</v>
      </c>
      <c r="J17" s="9" t="s">
        <v>98</v>
      </c>
      <c r="K17" s="9" t="s">
        <v>99</v>
      </c>
    </row>
    <row r="18" customFormat="false" ht="15" hidden="false" customHeight="false" outlineLevel="0" collapsed="false">
      <c r="A18" s="2" t="n">
        <v>17</v>
      </c>
      <c r="B18" s="3" t="s">
        <v>100</v>
      </c>
      <c r="C18" s="4" t="s">
        <v>59</v>
      </c>
      <c r="D18" s="4" t="s">
        <v>59</v>
      </c>
      <c r="E18" s="3" t="s">
        <v>101</v>
      </c>
      <c r="F18" s="5" t="s">
        <v>71</v>
      </c>
      <c r="G18" s="4" t="s">
        <v>102</v>
      </c>
      <c r="H18" s="6" t="n">
        <v>4.9</v>
      </c>
      <c r="I18" s="7" t="n">
        <v>172</v>
      </c>
      <c r="J18" s="3" t="s">
        <v>103</v>
      </c>
      <c r="K18" s="3" t="s">
        <v>104</v>
      </c>
    </row>
    <row r="19" customFormat="false" ht="15" hidden="false" customHeight="false" outlineLevel="0" collapsed="false">
      <c r="A19" s="8" t="n">
        <v>18</v>
      </c>
      <c r="B19" s="9" t="s">
        <v>105</v>
      </c>
      <c r="C19" s="10" t="s">
        <v>106</v>
      </c>
      <c r="D19" s="10" t="s">
        <v>59</v>
      </c>
      <c r="E19" s="9" t="s">
        <v>107</v>
      </c>
      <c r="F19" s="11" t="s">
        <v>108</v>
      </c>
      <c r="G19" s="10" t="s">
        <v>109</v>
      </c>
      <c r="H19" s="12" t="n">
        <v>4.9</v>
      </c>
      <c r="I19" s="13" t="n">
        <v>114</v>
      </c>
      <c r="J19" s="9" t="s">
        <v>110</v>
      </c>
      <c r="K19" s="9" t="s">
        <v>111</v>
      </c>
    </row>
    <row r="20" customFormat="false" ht="15" hidden="false" customHeight="false" outlineLevel="0" collapsed="false">
      <c r="A20" s="2" t="n">
        <v>19</v>
      </c>
      <c r="B20" s="3" t="s">
        <v>112</v>
      </c>
      <c r="C20" s="4" t="s">
        <v>106</v>
      </c>
      <c r="D20" s="4" t="s">
        <v>59</v>
      </c>
      <c r="E20" s="3" t="s">
        <v>113</v>
      </c>
      <c r="F20" s="5" t="s">
        <v>108</v>
      </c>
      <c r="G20" s="4" t="s">
        <v>114</v>
      </c>
      <c r="H20" s="6" t="n">
        <v>4.9</v>
      </c>
      <c r="I20" s="7" t="n">
        <v>121</v>
      </c>
      <c r="J20" s="3" t="s">
        <v>115</v>
      </c>
      <c r="K20" s="3" t="s">
        <v>116</v>
      </c>
    </row>
    <row r="21" customFormat="false" ht="15" hidden="false" customHeight="false" outlineLevel="0" collapsed="false">
      <c r="A21" s="8" t="n">
        <v>20</v>
      </c>
      <c r="B21" s="9" t="s">
        <v>117</v>
      </c>
      <c r="C21" s="10" t="s">
        <v>106</v>
      </c>
      <c r="D21" s="10" t="s">
        <v>59</v>
      </c>
      <c r="E21" s="9" t="s">
        <v>118</v>
      </c>
      <c r="F21" s="11" t="s">
        <v>108</v>
      </c>
      <c r="G21" s="10" t="s">
        <v>119</v>
      </c>
      <c r="H21" s="12" t="n">
        <v>4.3</v>
      </c>
      <c r="I21" s="13" t="n">
        <v>27</v>
      </c>
      <c r="J21" s="9" t="s">
        <v>40</v>
      </c>
      <c r="K21" s="9" t="s">
        <v>120</v>
      </c>
    </row>
    <row r="22" customFormat="false" ht="15" hidden="false" customHeight="false" outlineLevel="0" collapsed="false">
      <c r="A22" s="2" t="n">
        <v>21</v>
      </c>
      <c r="B22" s="3" t="s">
        <v>121</v>
      </c>
      <c r="C22" s="4" t="s">
        <v>122</v>
      </c>
      <c r="D22" s="4" t="s">
        <v>123</v>
      </c>
      <c r="E22" s="3" t="s">
        <v>124</v>
      </c>
      <c r="F22" s="5" t="s">
        <v>125</v>
      </c>
      <c r="G22" s="4" t="s">
        <v>126</v>
      </c>
      <c r="H22" s="6" t="n">
        <v>4.9</v>
      </c>
      <c r="I22" s="7" t="n">
        <v>43</v>
      </c>
      <c r="J22" s="3" t="s">
        <v>127</v>
      </c>
      <c r="K22" s="3" t="s">
        <v>128</v>
      </c>
    </row>
    <row r="23" customFormat="false" ht="15" hidden="false" customHeight="false" outlineLevel="0" collapsed="false">
      <c r="A23" s="8" t="n">
        <v>22</v>
      </c>
      <c r="B23" s="9" t="s">
        <v>129</v>
      </c>
      <c r="C23" s="10" t="s">
        <v>122</v>
      </c>
      <c r="D23" s="10" t="s">
        <v>123</v>
      </c>
      <c r="E23" s="9" t="s">
        <v>130</v>
      </c>
      <c r="F23" s="11" t="s">
        <v>125</v>
      </c>
      <c r="G23" s="10" t="s">
        <v>131</v>
      </c>
      <c r="H23" s="12" t="n">
        <v>5</v>
      </c>
      <c r="I23" s="13" t="n">
        <v>174</v>
      </c>
      <c r="J23" s="9" t="s">
        <v>93</v>
      </c>
      <c r="K23" s="9" t="s">
        <v>132</v>
      </c>
    </row>
    <row r="24" customFormat="false" ht="15" hidden="false" customHeight="false" outlineLevel="0" collapsed="false">
      <c r="A24" s="2" t="n">
        <v>23</v>
      </c>
      <c r="B24" s="3" t="s">
        <v>133</v>
      </c>
      <c r="C24" s="4" t="s">
        <v>134</v>
      </c>
      <c r="D24" s="4" t="s">
        <v>123</v>
      </c>
      <c r="E24" s="3" t="s">
        <v>135</v>
      </c>
      <c r="F24" s="5" t="s">
        <v>136</v>
      </c>
      <c r="G24" s="4" t="s">
        <v>137</v>
      </c>
      <c r="H24" s="6" t="n">
        <v>4.9</v>
      </c>
      <c r="I24" s="7" t="n">
        <v>44</v>
      </c>
      <c r="J24" s="3" t="s">
        <v>138</v>
      </c>
      <c r="K24" s="3" t="s">
        <v>139</v>
      </c>
    </row>
    <row r="25" customFormat="false" ht="15" hidden="false" customHeight="false" outlineLevel="0" collapsed="false">
      <c r="A25" s="8" t="n">
        <v>24</v>
      </c>
      <c r="B25" s="9" t="s">
        <v>140</v>
      </c>
      <c r="C25" s="10" t="s">
        <v>134</v>
      </c>
      <c r="D25" s="10" t="s">
        <v>123</v>
      </c>
      <c r="E25" s="9" t="s">
        <v>141</v>
      </c>
      <c r="F25" s="11" t="s">
        <v>136</v>
      </c>
      <c r="G25" s="10" t="s">
        <v>142</v>
      </c>
      <c r="H25" s="12" t="n">
        <v>4.5</v>
      </c>
      <c r="I25" s="13" t="n">
        <v>11</v>
      </c>
      <c r="J25" s="9" t="s">
        <v>143</v>
      </c>
      <c r="K25" s="9" t="s">
        <v>144</v>
      </c>
    </row>
    <row r="26" customFormat="false" ht="15" hidden="false" customHeight="false" outlineLevel="0" collapsed="false">
      <c r="A26" s="2" t="n">
        <v>25</v>
      </c>
      <c r="B26" s="3" t="s">
        <v>145</v>
      </c>
      <c r="C26" s="4" t="s">
        <v>134</v>
      </c>
      <c r="D26" s="4" t="s">
        <v>123</v>
      </c>
      <c r="E26" s="3" t="s">
        <v>146</v>
      </c>
      <c r="F26" s="5" t="s">
        <v>136</v>
      </c>
      <c r="G26" s="4" t="s">
        <v>147</v>
      </c>
      <c r="H26" s="6" t="n">
        <v>4.6</v>
      </c>
      <c r="I26" s="7" t="n">
        <v>47</v>
      </c>
      <c r="J26" s="3" t="s">
        <v>93</v>
      </c>
      <c r="K26" s="3" t="s">
        <v>148</v>
      </c>
    </row>
    <row r="27" customFormat="false" ht="15" hidden="false" customHeight="false" outlineLevel="0" collapsed="false">
      <c r="A27" s="8" t="n">
        <v>26</v>
      </c>
      <c r="B27" s="9" t="s">
        <v>149</v>
      </c>
      <c r="C27" s="10" t="s">
        <v>150</v>
      </c>
      <c r="D27" s="10" t="s">
        <v>123</v>
      </c>
      <c r="E27" s="9" t="s">
        <v>151</v>
      </c>
      <c r="F27" s="11" t="s">
        <v>152</v>
      </c>
      <c r="G27" s="10" t="s">
        <v>153</v>
      </c>
      <c r="H27" s="12" t="n">
        <v>4.9</v>
      </c>
      <c r="I27" s="13" t="n">
        <v>45</v>
      </c>
      <c r="J27" s="9" t="s">
        <v>154</v>
      </c>
      <c r="K27" s="9" t="s">
        <v>155</v>
      </c>
    </row>
    <row r="28" customFormat="false" ht="15" hidden="false" customHeight="false" outlineLevel="0" collapsed="false">
      <c r="A28" s="2" t="n">
        <v>27</v>
      </c>
      <c r="B28" s="3" t="s">
        <v>156</v>
      </c>
      <c r="C28" s="4" t="s">
        <v>150</v>
      </c>
      <c r="D28" s="4" t="s">
        <v>123</v>
      </c>
      <c r="E28" s="3" t="s">
        <v>157</v>
      </c>
      <c r="F28" s="5" t="s">
        <v>136</v>
      </c>
      <c r="G28" s="4" t="s">
        <v>158</v>
      </c>
      <c r="H28" s="6" t="n">
        <v>4.9</v>
      </c>
      <c r="I28" s="7" t="n">
        <v>11</v>
      </c>
      <c r="J28" s="3" t="s">
        <v>93</v>
      </c>
      <c r="K28" s="3" t="s">
        <v>159</v>
      </c>
    </row>
    <row r="29" customFormat="false" ht="15" hidden="false" customHeight="false" outlineLevel="0" collapsed="false">
      <c r="A29" s="8" t="n">
        <v>28</v>
      </c>
      <c r="B29" s="9" t="s">
        <v>160</v>
      </c>
      <c r="C29" s="10" t="s">
        <v>150</v>
      </c>
      <c r="D29" s="10" t="s">
        <v>123</v>
      </c>
      <c r="E29" s="9" t="s">
        <v>161</v>
      </c>
      <c r="F29" s="11" t="s">
        <v>136</v>
      </c>
      <c r="G29" s="10" t="s">
        <v>162</v>
      </c>
      <c r="H29" s="12" t="n">
        <v>4.7</v>
      </c>
      <c r="I29" s="13" t="n">
        <v>21</v>
      </c>
      <c r="J29" s="9" t="s">
        <v>163</v>
      </c>
      <c r="K29" s="9" t="s">
        <v>164</v>
      </c>
    </row>
    <row r="30" customFormat="false" ht="23.85" hidden="false" customHeight="false" outlineLevel="0" collapsed="false">
      <c r="A30" s="2" t="n">
        <v>29</v>
      </c>
      <c r="B30" s="3" t="s">
        <v>165</v>
      </c>
      <c r="C30" s="4" t="s">
        <v>166</v>
      </c>
      <c r="D30" s="4" t="s">
        <v>123</v>
      </c>
      <c r="E30" s="3" t="s">
        <v>167</v>
      </c>
      <c r="F30" s="5" t="s">
        <v>168</v>
      </c>
      <c r="G30" s="4" t="s">
        <v>169</v>
      </c>
      <c r="H30" s="6" t="n">
        <v>4.7</v>
      </c>
      <c r="I30" s="7" t="n">
        <v>146</v>
      </c>
      <c r="J30" s="3" t="s">
        <v>46</v>
      </c>
      <c r="K30" s="3" t="s">
        <v>170</v>
      </c>
    </row>
    <row r="31" customFormat="false" ht="15" hidden="false" customHeight="false" outlineLevel="0" collapsed="false">
      <c r="A31" s="8" t="n">
        <v>30</v>
      </c>
      <c r="B31" s="9" t="s">
        <v>171</v>
      </c>
      <c r="C31" s="10" t="s">
        <v>166</v>
      </c>
      <c r="D31" s="10" t="s">
        <v>123</v>
      </c>
      <c r="E31" s="9" t="s">
        <v>172</v>
      </c>
      <c r="F31" s="11" t="s">
        <v>168</v>
      </c>
      <c r="G31" s="10" t="s">
        <v>173</v>
      </c>
      <c r="H31" s="12" t="n">
        <v>5</v>
      </c>
      <c r="I31" s="13" t="n">
        <v>17</v>
      </c>
      <c r="J31" s="9" t="s">
        <v>174</v>
      </c>
      <c r="K31" s="9" t="s">
        <v>175</v>
      </c>
    </row>
    <row r="32" customFormat="false" ht="15" hidden="false" customHeight="false" outlineLevel="0" collapsed="false">
      <c r="A32" s="2" t="n">
        <v>31</v>
      </c>
      <c r="B32" s="3" t="s">
        <v>176</v>
      </c>
      <c r="C32" s="4" t="s">
        <v>166</v>
      </c>
      <c r="D32" s="4" t="s">
        <v>123</v>
      </c>
      <c r="E32" s="3" t="s">
        <v>177</v>
      </c>
      <c r="F32" s="5" t="s">
        <v>168</v>
      </c>
      <c r="G32" s="4" t="s">
        <v>178</v>
      </c>
      <c r="H32" s="6" t="n">
        <v>5</v>
      </c>
      <c r="I32" s="7" t="n">
        <v>21</v>
      </c>
      <c r="J32" s="3" t="s">
        <v>16</v>
      </c>
      <c r="K32" s="3" t="s">
        <v>179</v>
      </c>
    </row>
    <row r="33" customFormat="false" ht="15" hidden="false" customHeight="false" outlineLevel="0" collapsed="false">
      <c r="A33" s="8" t="n">
        <v>32</v>
      </c>
      <c r="B33" s="9" t="s">
        <v>180</v>
      </c>
      <c r="C33" s="10" t="s">
        <v>181</v>
      </c>
      <c r="D33" s="10" t="s">
        <v>123</v>
      </c>
      <c r="E33" s="9" t="s">
        <v>182</v>
      </c>
      <c r="F33" s="11" t="s">
        <v>183</v>
      </c>
      <c r="G33" s="10" t="s">
        <v>184</v>
      </c>
      <c r="H33" s="12" t="n">
        <v>4.9</v>
      </c>
      <c r="I33" s="13" t="n">
        <v>144</v>
      </c>
      <c r="J33" s="9" t="s">
        <v>185</v>
      </c>
      <c r="K33" s="9" t="s">
        <v>186</v>
      </c>
    </row>
    <row r="34" customFormat="false" ht="15" hidden="false" customHeight="false" outlineLevel="0" collapsed="false">
      <c r="A34" s="2" t="n">
        <v>33</v>
      </c>
      <c r="B34" s="3" t="s">
        <v>187</v>
      </c>
      <c r="C34" s="4" t="s">
        <v>188</v>
      </c>
      <c r="D34" s="4" t="s">
        <v>123</v>
      </c>
      <c r="E34" s="3" t="s">
        <v>189</v>
      </c>
      <c r="F34" s="5" t="s">
        <v>190</v>
      </c>
      <c r="G34" s="4" t="s">
        <v>191</v>
      </c>
      <c r="H34" s="6" t="n">
        <v>4.9</v>
      </c>
      <c r="I34" s="7" t="n">
        <v>38</v>
      </c>
      <c r="J34" s="3" t="s">
        <v>192</v>
      </c>
      <c r="K34" s="3" t="s">
        <v>193</v>
      </c>
    </row>
    <row r="35" customFormat="false" ht="15" hidden="false" customHeight="false" outlineLevel="0" collapsed="false">
      <c r="A35" s="8" t="n">
        <v>34</v>
      </c>
      <c r="B35" s="9" t="s">
        <v>194</v>
      </c>
      <c r="C35" s="10" t="s">
        <v>195</v>
      </c>
      <c r="D35" s="10" t="s">
        <v>123</v>
      </c>
      <c r="E35" s="9" t="s">
        <v>196</v>
      </c>
      <c r="F35" s="11" t="s">
        <v>197</v>
      </c>
      <c r="G35" s="10" t="s">
        <v>198</v>
      </c>
      <c r="H35" s="12" t="n">
        <v>4.8</v>
      </c>
      <c r="I35" s="13" t="n">
        <v>101</v>
      </c>
      <c r="J35" s="9" t="s">
        <v>199</v>
      </c>
      <c r="K35" s="9" t="s">
        <v>200</v>
      </c>
    </row>
    <row r="36" customFormat="false" ht="15" hidden="false" customHeight="false" outlineLevel="0" collapsed="false">
      <c r="A36" s="2" t="n">
        <v>35</v>
      </c>
      <c r="B36" s="3" t="s">
        <v>201</v>
      </c>
      <c r="C36" s="4" t="s">
        <v>195</v>
      </c>
      <c r="D36" s="4" t="s">
        <v>123</v>
      </c>
      <c r="E36" s="3" t="s">
        <v>202</v>
      </c>
      <c r="F36" s="5" t="s">
        <v>203</v>
      </c>
      <c r="G36" s="4" t="s">
        <v>204</v>
      </c>
      <c r="H36" s="6" t="n">
        <v>4.4</v>
      </c>
      <c r="I36" s="7" t="n">
        <v>34</v>
      </c>
      <c r="J36" s="3" t="s">
        <v>40</v>
      </c>
      <c r="K36" s="3" t="s">
        <v>205</v>
      </c>
    </row>
    <row r="37" customFormat="false" ht="23.85" hidden="false" customHeight="false" outlineLevel="0" collapsed="false">
      <c r="A37" s="8" t="n">
        <v>36</v>
      </c>
      <c r="B37" s="9" t="s">
        <v>206</v>
      </c>
      <c r="C37" s="10" t="s">
        <v>195</v>
      </c>
      <c r="D37" s="10" t="s">
        <v>123</v>
      </c>
      <c r="E37" s="9" t="s">
        <v>207</v>
      </c>
      <c r="F37" s="11" t="s">
        <v>203</v>
      </c>
      <c r="G37" s="10" t="s">
        <v>208</v>
      </c>
      <c r="H37" s="12" t="n">
        <v>5</v>
      </c>
      <c r="I37" s="13" t="n">
        <v>4</v>
      </c>
      <c r="J37" s="9" t="s">
        <v>209</v>
      </c>
      <c r="K37" s="9" t="s">
        <v>210</v>
      </c>
    </row>
    <row r="38" customFormat="false" ht="15" hidden="false" customHeight="false" outlineLevel="0" collapsed="false">
      <c r="A38" s="2" t="n">
        <v>37</v>
      </c>
      <c r="B38" s="3" t="s">
        <v>211</v>
      </c>
      <c r="C38" s="4" t="s">
        <v>195</v>
      </c>
      <c r="D38" s="4" t="s">
        <v>123</v>
      </c>
      <c r="E38" s="3" t="s">
        <v>212</v>
      </c>
      <c r="F38" s="5" t="s">
        <v>203</v>
      </c>
      <c r="G38" s="4" t="s">
        <v>213</v>
      </c>
      <c r="H38" s="6" t="n">
        <v>4.9</v>
      </c>
      <c r="I38" s="7" t="n">
        <v>11</v>
      </c>
      <c r="J38" s="3" t="s">
        <v>40</v>
      </c>
      <c r="K38" s="3" t="s">
        <v>214</v>
      </c>
    </row>
    <row r="39" customFormat="false" ht="15" hidden="false" customHeight="false" outlineLevel="0" collapsed="false">
      <c r="A39" s="8" t="n">
        <v>38</v>
      </c>
      <c r="B39" s="9" t="s">
        <v>215</v>
      </c>
      <c r="C39" s="10" t="s">
        <v>195</v>
      </c>
      <c r="D39" s="10" t="s">
        <v>123</v>
      </c>
      <c r="E39" s="9" t="s">
        <v>216</v>
      </c>
      <c r="F39" s="11" t="s">
        <v>197</v>
      </c>
      <c r="G39" s="10" t="s">
        <v>217</v>
      </c>
      <c r="H39" s="12" t="n">
        <v>4.8</v>
      </c>
      <c r="I39" s="13" t="n">
        <v>32</v>
      </c>
      <c r="J39" s="9" t="s">
        <v>218</v>
      </c>
      <c r="K39" s="9" t="s">
        <v>219</v>
      </c>
    </row>
    <row r="40" customFormat="false" ht="15" hidden="false" customHeight="false" outlineLevel="0" collapsed="false">
      <c r="A40" s="2" t="n">
        <v>39</v>
      </c>
      <c r="B40" s="3" t="s">
        <v>220</v>
      </c>
      <c r="C40" s="4" t="s">
        <v>195</v>
      </c>
      <c r="D40" s="4" t="s">
        <v>123</v>
      </c>
      <c r="E40" s="3" t="s">
        <v>221</v>
      </c>
      <c r="F40" s="5" t="s">
        <v>203</v>
      </c>
      <c r="G40" s="4" t="s">
        <v>222</v>
      </c>
      <c r="H40" s="6" t="n">
        <v>4.4</v>
      </c>
      <c r="I40" s="7" t="n">
        <v>7</v>
      </c>
      <c r="J40" s="3" t="s">
        <v>16</v>
      </c>
      <c r="K40" s="3" t="s">
        <v>223</v>
      </c>
    </row>
    <row r="41" customFormat="false" ht="15" hidden="false" customHeight="false" outlineLevel="0" collapsed="false">
      <c r="A41" s="8" t="n">
        <v>40</v>
      </c>
      <c r="B41" s="9" t="s">
        <v>224</v>
      </c>
      <c r="C41" s="10" t="s">
        <v>195</v>
      </c>
      <c r="D41" s="10" t="s">
        <v>123</v>
      </c>
      <c r="E41" s="9" t="s">
        <v>225</v>
      </c>
      <c r="F41" s="11" t="s">
        <v>203</v>
      </c>
      <c r="G41" s="10" t="s">
        <v>226</v>
      </c>
      <c r="H41" s="12" t="n">
        <v>5</v>
      </c>
      <c r="I41" s="13" t="n">
        <v>17</v>
      </c>
      <c r="J41" s="9" t="s">
        <v>227</v>
      </c>
      <c r="K41" s="9" t="s">
        <v>228</v>
      </c>
    </row>
    <row r="42" customFormat="false" ht="15" hidden="false" customHeight="false" outlineLevel="0" collapsed="false">
      <c r="A42" s="2" t="n">
        <v>41</v>
      </c>
      <c r="B42" s="3" t="s">
        <v>229</v>
      </c>
      <c r="C42" s="4" t="s">
        <v>195</v>
      </c>
      <c r="D42" s="4" t="s">
        <v>123</v>
      </c>
      <c r="E42" s="3" t="s">
        <v>230</v>
      </c>
      <c r="F42" s="5" t="s">
        <v>203</v>
      </c>
      <c r="G42" s="4" t="s">
        <v>231</v>
      </c>
      <c r="H42" s="6" t="n">
        <v>4.8</v>
      </c>
      <c r="I42" s="7" t="n">
        <v>24</v>
      </c>
      <c r="J42" s="3" t="s">
        <v>232</v>
      </c>
      <c r="K42" s="3" t="s">
        <v>233</v>
      </c>
    </row>
    <row r="43" customFormat="false" ht="15" hidden="false" customHeight="false" outlineLevel="0" collapsed="false">
      <c r="A43" s="8" t="n">
        <v>42</v>
      </c>
      <c r="B43" s="9" t="s">
        <v>234</v>
      </c>
      <c r="C43" s="10" t="s">
        <v>235</v>
      </c>
      <c r="D43" s="10" t="s">
        <v>236</v>
      </c>
      <c r="E43" s="9" t="s">
        <v>237</v>
      </c>
      <c r="F43" s="11" t="s">
        <v>238</v>
      </c>
      <c r="G43" s="10" t="s">
        <v>239</v>
      </c>
      <c r="H43" s="12" t="n">
        <v>5</v>
      </c>
      <c r="I43" s="13" t="n">
        <v>7</v>
      </c>
      <c r="J43" s="9" t="s">
        <v>16</v>
      </c>
      <c r="K43" s="9" t="s">
        <v>240</v>
      </c>
    </row>
    <row r="44" customFormat="false" ht="15" hidden="false" customHeight="false" outlineLevel="0" collapsed="false">
      <c r="A44" s="2" t="n">
        <v>43</v>
      </c>
      <c r="B44" s="3" t="s">
        <v>241</v>
      </c>
      <c r="C44" s="4" t="s">
        <v>235</v>
      </c>
      <c r="D44" s="4" t="s">
        <v>236</v>
      </c>
      <c r="E44" s="3" t="s">
        <v>242</v>
      </c>
      <c r="F44" s="5" t="s">
        <v>238</v>
      </c>
      <c r="G44" s="4" t="s">
        <v>243</v>
      </c>
      <c r="H44" s="6" t="n">
        <v>5</v>
      </c>
      <c r="I44" s="7" t="n">
        <v>7</v>
      </c>
      <c r="J44" s="3" t="s">
        <v>244</v>
      </c>
      <c r="K44" s="3" t="s">
        <v>245</v>
      </c>
    </row>
    <row r="45" customFormat="false" ht="15" hidden="false" customHeight="false" outlineLevel="0" collapsed="false">
      <c r="A45" s="8" t="n">
        <v>44</v>
      </c>
      <c r="B45" s="9" t="s">
        <v>246</v>
      </c>
      <c r="C45" s="10" t="s">
        <v>235</v>
      </c>
      <c r="D45" s="10" t="s">
        <v>236</v>
      </c>
      <c r="E45" s="9" t="s">
        <v>247</v>
      </c>
      <c r="F45" s="11" t="s">
        <v>238</v>
      </c>
      <c r="G45" s="10" t="s">
        <v>248</v>
      </c>
      <c r="H45" s="12" t="n">
        <v>4.6</v>
      </c>
      <c r="I45" s="13" t="n">
        <v>14</v>
      </c>
      <c r="J45" s="9" t="s">
        <v>27</v>
      </c>
      <c r="K45" s="9" t="s">
        <v>249</v>
      </c>
    </row>
    <row r="46" customFormat="false" ht="15" hidden="false" customHeight="false" outlineLevel="0" collapsed="false">
      <c r="A46" s="2" t="n">
        <v>45</v>
      </c>
      <c r="B46" s="3" t="s">
        <v>250</v>
      </c>
      <c r="C46" s="4" t="s">
        <v>236</v>
      </c>
      <c r="D46" s="4" t="s">
        <v>236</v>
      </c>
      <c r="E46" s="3" t="s">
        <v>251</v>
      </c>
      <c r="F46" s="5" t="s">
        <v>252</v>
      </c>
      <c r="G46" s="4" t="s">
        <v>253</v>
      </c>
      <c r="H46" s="6" t="n">
        <v>5</v>
      </c>
      <c r="I46" s="7" t="n">
        <v>34</v>
      </c>
      <c r="J46" s="3" t="s">
        <v>254</v>
      </c>
      <c r="K46" s="3" t="s">
        <v>255</v>
      </c>
    </row>
    <row r="47" customFormat="false" ht="15" hidden="false" customHeight="false" outlineLevel="0" collapsed="false">
      <c r="A47" s="8" t="n">
        <v>46</v>
      </c>
      <c r="B47" s="9" t="s">
        <v>256</v>
      </c>
      <c r="C47" s="10" t="s">
        <v>236</v>
      </c>
      <c r="D47" s="10" t="s">
        <v>236</v>
      </c>
      <c r="E47" s="9" t="s">
        <v>257</v>
      </c>
      <c r="F47" s="11" t="s">
        <v>252</v>
      </c>
      <c r="G47" s="10" t="s">
        <v>258</v>
      </c>
      <c r="H47" s="12" t="n">
        <v>4.9</v>
      </c>
      <c r="I47" s="13" t="n">
        <v>56</v>
      </c>
      <c r="J47" s="9" t="s">
        <v>259</v>
      </c>
      <c r="K47" s="9" t="s">
        <v>260</v>
      </c>
    </row>
    <row r="48" customFormat="false" ht="15" hidden="false" customHeight="false" outlineLevel="0" collapsed="false">
      <c r="A48" s="2" t="n">
        <v>47</v>
      </c>
      <c r="B48" s="3" t="s">
        <v>261</v>
      </c>
      <c r="C48" s="4" t="s">
        <v>236</v>
      </c>
      <c r="D48" s="4" t="s">
        <v>236</v>
      </c>
      <c r="E48" s="3" t="s">
        <v>262</v>
      </c>
      <c r="F48" s="5" t="s">
        <v>252</v>
      </c>
      <c r="G48" s="4" t="s">
        <v>263</v>
      </c>
      <c r="H48" s="6" t="n">
        <v>4.2</v>
      </c>
      <c r="I48" s="7" t="n">
        <v>40</v>
      </c>
      <c r="J48" s="3" t="s">
        <v>264</v>
      </c>
      <c r="K48" s="3" t="s">
        <v>265</v>
      </c>
    </row>
    <row r="49" customFormat="false" ht="15" hidden="false" customHeight="false" outlineLevel="0" collapsed="false">
      <c r="A49" s="8" t="n">
        <v>48</v>
      </c>
      <c r="B49" s="9" t="s">
        <v>266</v>
      </c>
      <c r="C49" s="10" t="s">
        <v>267</v>
      </c>
      <c r="D49" s="10" t="s">
        <v>236</v>
      </c>
      <c r="E49" s="9" t="s">
        <v>268</v>
      </c>
      <c r="F49" s="11" t="s">
        <v>269</v>
      </c>
      <c r="G49" s="10" t="s">
        <v>270</v>
      </c>
      <c r="H49" s="12" t="n">
        <v>4</v>
      </c>
      <c r="I49" s="13" t="n">
        <v>4</v>
      </c>
      <c r="J49" s="9" t="s">
        <v>271</v>
      </c>
      <c r="K49" s="9" t="s">
        <v>272</v>
      </c>
    </row>
    <row r="50" customFormat="false" ht="15" hidden="false" customHeight="false" outlineLevel="0" collapsed="false">
      <c r="A50" s="2" t="n">
        <v>49</v>
      </c>
      <c r="B50" s="3" t="s">
        <v>273</v>
      </c>
      <c r="C50" s="4" t="s">
        <v>267</v>
      </c>
      <c r="D50" s="4" t="s">
        <v>236</v>
      </c>
      <c r="E50" s="3" t="s">
        <v>274</v>
      </c>
      <c r="F50" s="5" t="s">
        <v>269</v>
      </c>
      <c r="G50" s="4" t="s">
        <v>275</v>
      </c>
      <c r="H50" s="6" t="n">
        <v>5</v>
      </c>
      <c r="I50" s="7" t="n">
        <v>122</v>
      </c>
      <c r="J50" s="3" t="s">
        <v>276</v>
      </c>
      <c r="K50" s="3" t="s">
        <v>277</v>
      </c>
    </row>
    <row r="51" customFormat="false" ht="15" hidden="false" customHeight="false" outlineLevel="0" collapsed="false">
      <c r="A51" s="8" t="n">
        <v>50</v>
      </c>
      <c r="B51" s="9" t="s">
        <v>278</v>
      </c>
      <c r="C51" s="10" t="s">
        <v>267</v>
      </c>
      <c r="D51" s="10" t="s">
        <v>236</v>
      </c>
      <c r="E51" s="9" t="s">
        <v>279</v>
      </c>
      <c r="F51" s="11" t="s">
        <v>269</v>
      </c>
      <c r="G51" s="10" t="s">
        <v>280</v>
      </c>
      <c r="H51" s="12" t="n">
        <v>5</v>
      </c>
      <c r="I51" s="13" t="n">
        <v>7</v>
      </c>
      <c r="J51" s="9" t="s">
        <v>16</v>
      </c>
      <c r="K51" s="9" t="s">
        <v>281</v>
      </c>
    </row>
    <row r="52" customFormat="false" ht="15" hidden="false" customHeight="false" outlineLevel="0" collapsed="false">
      <c r="A52" s="2" t="n">
        <v>51</v>
      </c>
      <c r="B52" s="3" t="s">
        <v>282</v>
      </c>
      <c r="C52" s="4" t="s">
        <v>267</v>
      </c>
      <c r="D52" s="4" t="s">
        <v>236</v>
      </c>
      <c r="E52" s="3" t="s">
        <v>283</v>
      </c>
      <c r="F52" s="5" t="s">
        <v>269</v>
      </c>
      <c r="G52" s="4" t="s">
        <v>284</v>
      </c>
      <c r="H52" s="6" t="n">
        <v>4.5</v>
      </c>
      <c r="I52" s="7" t="n">
        <v>33</v>
      </c>
      <c r="J52" s="3" t="s">
        <v>244</v>
      </c>
      <c r="K52" s="3" t="s">
        <v>285</v>
      </c>
    </row>
    <row r="53" customFormat="false" ht="15" hidden="false" customHeight="false" outlineLevel="0" collapsed="false">
      <c r="A53" s="8" t="n">
        <v>52</v>
      </c>
      <c r="B53" s="9" t="s">
        <v>286</v>
      </c>
      <c r="C53" s="10" t="s">
        <v>287</v>
      </c>
      <c r="D53" s="10" t="s">
        <v>236</v>
      </c>
      <c r="E53" s="9" t="s">
        <v>288</v>
      </c>
      <c r="F53" s="11" t="s">
        <v>269</v>
      </c>
      <c r="G53" s="10" t="s">
        <v>289</v>
      </c>
      <c r="H53" s="12" t="n">
        <v>4.5</v>
      </c>
      <c r="I53" s="13" t="n">
        <v>8</v>
      </c>
      <c r="J53" s="9" t="s">
        <v>46</v>
      </c>
      <c r="K53" s="9" t="s">
        <v>290</v>
      </c>
    </row>
    <row r="54" customFormat="false" ht="15" hidden="false" customHeight="false" outlineLevel="0" collapsed="false">
      <c r="A54" s="2" t="n">
        <v>53</v>
      </c>
      <c r="B54" s="3" t="s">
        <v>291</v>
      </c>
      <c r="C54" s="4" t="s">
        <v>292</v>
      </c>
      <c r="D54" s="4" t="s">
        <v>236</v>
      </c>
      <c r="E54" s="3" t="s">
        <v>293</v>
      </c>
      <c r="F54" s="5" t="s">
        <v>294</v>
      </c>
      <c r="G54" s="4" t="s">
        <v>295</v>
      </c>
      <c r="H54" s="6" t="n">
        <v>4.9</v>
      </c>
      <c r="I54" s="7" t="n">
        <v>48</v>
      </c>
      <c r="J54" s="3" t="s">
        <v>51</v>
      </c>
      <c r="K54" s="3" t="s">
        <v>296</v>
      </c>
    </row>
    <row r="55" customFormat="false" ht="15" hidden="false" customHeight="false" outlineLevel="0" collapsed="false">
      <c r="A55" s="8" t="n">
        <v>54</v>
      </c>
      <c r="B55" s="9" t="s">
        <v>297</v>
      </c>
      <c r="C55" s="10" t="s">
        <v>298</v>
      </c>
      <c r="D55" s="10" t="s">
        <v>236</v>
      </c>
      <c r="E55" s="9" t="s">
        <v>299</v>
      </c>
      <c r="F55" s="11" t="s">
        <v>294</v>
      </c>
      <c r="G55" s="10" t="s">
        <v>300</v>
      </c>
      <c r="H55" s="12" t="n">
        <v>5</v>
      </c>
      <c r="I55" s="13" t="n">
        <v>64</v>
      </c>
      <c r="J55" s="9" t="s">
        <v>301</v>
      </c>
      <c r="K55" s="9" t="s">
        <v>302</v>
      </c>
    </row>
    <row r="56" customFormat="false" ht="15" hidden="false" customHeight="false" outlineLevel="0" collapsed="false">
      <c r="A56" s="2" t="n">
        <v>55</v>
      </c>
      <c r="B56" s="3" t="s">
        <v>303</v>
      </c>
      <c r="C56" s="4" t="s">
        <v>298</v>
      </c>
      <c r="D56" s="4" t="s">
        <v>236</v>
      </c>
      <c r="E56" s="3" t="s">
        <v>304</v>
      </c>
      <c r="F56" s="5" t="s">
        <v>294</v>
      </c>
      <c r="G56" s="4" t="s">
        <v>305</v>
      </c>
      <c r="H56" s="6" t="n">
        <v>4.4</v>
      </c>
      <c r="I56" s="7" t="n">
        <v>9</v>
      </c>
      <c r="J56" s="3" t="s">
        <v>306</v>
      </c>
      <c r="K56" s="3" t="s">
        <v>307</v>
      </c>
    </row>
    <row r="57" customFormat="false" ht="15" hidden="false" customHeight="false" outlineLevel="0" collapsed="false">
      <c r="A57" s="8" t="n">
        <v>56</v>
      </c>
      <c r="B57" s="9" t="s">
        <v>308</v>
      </c>
      <c r="C57" s="10" t="s">
        <v>309</v>
      </c>
      <c r="D57" s="10" t="s">
        <v>310</v>
      </c>
      <c r="E57" s="9" t="s">
        <v>311</v>
      </c>
      <c r="F57" s="11" t="s">
        <v>312</v>
      </c>
      <c r="G57" s="10" t="s">
        <v>313</v>
      </c>
      <c r="H57" s="12" t="n">
        <v>5</v>
      </c>
      <c r="I57" s="13" t="n">
        <v>4</v>
      </c>
      <c r="J57" s="9" t="s">
        <v>93</v>
      </c>
      <c r="K57" s="9" t="s">
        <v>314</v>
      </c>
    </row>
    <row r="58" customFormat="false" ht="15" hidden="false" customHeight="false" outlineLevel="0" collapsed="false">
      <c r="A58" s="2" t="n">
        <v>57</v>
      </c>
      <c r="B58" s="3" t="s">
        <v>315</v>
      </c>
      <c r="C58" s="4" t="s">
        <v>309</v>
      </c>
      <c r="D58" s="4" t="s">
        <v>310</v>
      </c>
      <c r="E58" s="3" t="s">
        <v>316</v>
      </c>
      <c r="F58" s="5" t="s">
        <v>312</v>
      </c>
      <c r="G58" s="4" t="s">
        <v>317</v>
      </c>
      <c r="H58" s="6" t="n">
        <v>4.8</v>
      </c>
      <c r="I58" s="7" t="n">
        <v>42</v>
      </c>
      <c r="J58" s="3" t="s">
        <v>318</v>
      </c>
      <c r="K58" s="3" t="s">
        <v>319</v>
      </c>
    </row>
    <row r="59" customFormat="false" ht="15" hidden="false" customHeight="false" outlineLevel="0" collapsed="false">
      <c r="A59" s="8" t="n">
        <v>58</v>
      </c>
      <c r="B59" s="9" t="s">
        <v>320</v>
      </c>
      <c r="C59" s="10" t="s">
        <v>309</v>
      </c>
      <c r="D59" s="10" t="s">
        <v>310</v>
      </c>
      <c r="E59" s="9" t="s">
        <v>321</v>
      </c>
      <c r="F59" s="11" t="s">
        <v>312</v>
      </c>
      <c r="G59" s="10" t="s">
        <v>322</v>
      </c>
      <c r="H59" s="12" t="n">
        <v>4.6</v>
      </c>
      <c r="I59" s="13" t="n">
        <v>62</v>
      </c>
      <c r="J59" s="9" t="s">
        <v>16</v>
      </c>
      <c r="K59" s="9" t="s">
        <v>323</v>
      </c>
    </row>
    <row r="60" customFormat="false" ht="15" hidden="false" customHeight="false" outlineLevel="0" collapsed="false">
      <c r="A60" s="2" t="n">
        <v>59</v>
      </c>
      <c r="B60" s="3" t="s">
        <v>324</v>
      </c>
      <c r="C60" s="4" t="s">
        <v>309</v>
      </c>
      <c r="D60" s="4" t="s">
        <v>310</v>
      </c>
      <c r="E60" s="3" t="s">
        <v>325</v>
      </c>
      <c r="F60" s="5" t="s">
        <v>312</v>
      </c>
      <c r="G60" s="4" t="s">
        <v>326</v>
      </c>
      <c r="H60" s="6" t="n">
        <v>4.9</v>
      </c>
      <c r="I60" s="7" t="n">
        <v>28</v>
      </c>
      <c r="J60" s="3" t="s">
        <v>127</v>
      </c>
      <c r="K60" s="3" t="s">
        <v>327</v>
      </c>
    </row>
    <row r="61" customFormat="false" ht="15" hidden="false" customHeight="false" outlineLevel="0" collapsed="false">
      <c r="A61" s="8" t="n">
        <v>60</v>
      </c>
      <c r="B61" s="9" t="s">
        <v>328</v>
      </c>
      <c r="C61" s="10" t="s">
        <v>309</v>
      </c>
      <c r="D61" s="10" t="s">
        <v>310</v>
      </c>
      <c r="E61" s="9" t="s">
        <v>316</v>
      </c>
      <c r="F61" s="11" t="s">
        <v>312</v>
      </c>
      <c r="G61" s="10"/>
      <c r="H61" s="12" t="n">
        <v>5</v>
      </c>
      <c r="I61" s="13" t="n">
        <v>21</v>
      </c>
      <c r="J61" s="9" t="s">
        <v>329</v>
      </c>
      <c r="K61" s="9" t="s">
        <v>330</v>
      </c>
    </row>
    <row r="62" customFormat="false" ht="15" hidden="false" customHeight="false" outlineLevel="0" collapsed="false">
      <c r="A62" s="2" t="n">
        <v>61</v>
      </c>
      <c r="B62" s="3" t="s">
        <v>331</v>
      </c>
      <c r="C62" s="4" t="s">
        <v>332</v>
      </c>
      <c r="D62" s="4" t="s">
        <v>310</v>
      </c>
      <c r="E62" s="3" t="s">
        <v>333</v>
      </c>
      <c r="F62" s="5" t="s">
        <v>334</v>
      </c>
      <c r="G62" s="4" t="s">
        <v>335</v>
      </c>
      <c r="H62" s="6" t="n">
        <v>5</v>
      </c>
      <c r="I62" s="7" t="n">
        <v>33</v>
      </c>
      <c r="J62" s="3" t="s">
        <v>93</v>
      </c>
      <c r="K62" s="3" t="s">
        <v>336</v>
      </c>
    </row>
    <row r="63" customFormat="false" ht="15" hidden="false" customHeight="false" outlineLevel="0" collapsed="false">
      <c r="A63" s="8" t="n">
        <v>62</v>
      </c>
      <c r="B63" s="9" t="s">
        <v>337</v>
      </c>
      <c r="C63" s="10" t="s">
        <v>332</v>
      </c>
      <c r="D63" s="10" t="s">
        <v>310</v>
      </c>
      <c r="E63" s="9" t="s">
        <v>338</v>
      </c>
      <c r="F63" s="11" t="s">
        <v>334</v>
      </c>
      <c r="G63" s="10" t="s">
        <v>339</v>
      </c>
      <c r="H63" s="12" t="n">
        <v>5</v>
      </c>
      <c r="I63" s="13" t="n">
        <v>15</v>
      </c>
      <c r="J63" s="9" t="s">
        <v>340</v>
      </c>
      <c r="K63" s="9" t="s">
        <v>341</v>
      </c>
    </row>
    <row r="64" customFormat="false" ht="15" hidden="false" customHeight="false" outlineLevel="0" collapsed="false">
      <c r="A64" s="2" t="n">
        <v>63</v>
      </c>
      <c r="B64" s="3" t="s">
        <v>342</v>
      </c>
      <c r="C64" s="4" t="s">
        <v>332</v>
      </c>
      <c r="D64" s="4" t="s">
        <v>310</v>
      </c>
      <c r="E64" s="3" t="s">
        <v>343</v>
      </c>
      <c r="F64" s="5" t="s">
        <v>334</v>
      </c>
      <c r="G64" s="4" t="s">
        <v>344</v>
      </c>
      <c r="H64" s="6" t="n">
        <v>5</v>
      </c>
      <c r="I64" s="7" t="n">
        <v>9</v>
      </c>
      <c r="J64" s="3" t="s">
        <v>16</v>
      </c>
      <c r="K64" s="3" t="s">
        <v>345</v>
      </c>
    </row>
    <row r="65" customFormat="false" ht="15" hidden="false" customHeight="false" outlineLevel="0" collapsed="false">
      <c r="A65" s="8" t="n">
        <v>64</v>
      </c>
      <c r="B65" s="9" t="s">
        <v>346</v>
      </c>
      <c r="C65" s="10" t="s">
        <v>310</v>
      </c>
      <c r="D65" s="10" t="s">
        <v>310</v>
      </c>
      <c r="E65" s="9" t="s">
        <v>347</v>
      </c>
      <c r="F65" s="11" t="s">
        <v>348</v>
      </c>
      <c r="G65" s="10" t="s">
        <v>349</v>
      </c>
      <c r="H65" s="12" t="n">
        <v>5</v>
      </c>
      <c r="I65" s="13" t="n">
        <v>35</v>
      </c>
      <c r="J65" s="9" t="s">
        <v>350</v>
      </c>
      <c r="K65" s="9" t="s">
        <v>351</v>
      </c>
    </row>
    <row r="66" customFormat="false" ht="23.85" hidden="false" customHeight="false" outlineLevel="0" collapsed="false">
      <c r="A66" s="2" t="n">
        <v>65</v>
      </c>
      <c r="B66" s="3" t="s">
        <v>352</v>
      </c>
      <c r="C66" s="4" t="s">
        <v>310</v>
      </c>
      <c r="D66" s="4" t="s">
        <v>310</v>
      </c>
      <c r="E66" s="3" t="s">
        <v>353</v>
      </c>
      <c r="F66" s="5" t="s">
        <v>348</v>
      </c>
      <c r="G66" s="4" t="s">
        <v>354</v>
      </c>
      <c r="H66" s="6" t="n">
        <v>4.5</v>
      </c>
      <c r="I66" s="7" t="n">
        <v>2</v>
      </c>
      <c r="J66" s="3" t="s">
        <v>16</v>
      </c>
      <c r="K66" s="3" t="s">
        <v>355</v>
      </c>
    </row>
    <row r="67" customFormat="false" ht="15" hidden="false" customHeight="false" outlineLevel="0" collapsed="false">
      <c r="A67" s="8" t="n">
        <v>66</v>
      </c>
      <c r="B67" s="9" t="s">
        <v>356</v>
      </c>
      <c r="C67" s="10" t="s">
        <v>310</v>
      </c>
      <c r="D67" s="10" t="s">
        <v>310</v>
      </c>
      <c r="E67" s="9" t="s">
        <v>357</v>
      </c>
      <c r="F67" s="11" t="s">
        <v>358</v>
      </c>
      <c r="G67" s="10" t="s">
        <v>359</v>
      </c>
      <c r="H67" s="12" t="n">
        <v>4.7</v>
      </c>
      <c r="I67" s="13" t="n">
        <v>108</v>
      </c>
      <c r="J67" s="9" t="s">
        <v>360</v>
      </c>
      <c r="K67" s="9" t="s">
        <v>361</v>
      </c>
    </row>
    <row r="68" customFormat="false" ht="15" hidden="false" customHeight="false" outlineLevel="0" collapsed="false">
      <c r="A68" s="2" t="n">
        <v>67</v>
      </c>
      <c r="B68" s="3" t="s">
        <v>362</v>
      </c>
      <c r="C68" s="4" t="s">
        <v>310</v>
      </c>
      <c r="D68" s="4" t="s">
        <v>310</v>
      </c>
      <c r="E68" s="3" t="s">
        <v>363</v>
      </c>
      <c r="F68" s="5" t="s">
        <v>358</v>
      </c>
      <c r="G68" s="4" t="s">
        <v>364</v>
      </c>
      <c r="H68" s="6" t="n">
        <v>4.9</v>
      </c>
      <c r="I68" s="7" t="n">
        <v>76</v>
      </c>
      <c r="J68" s="3" t="s">
        <v>365</v>
      </c>
      <c r="K68" s="3" t="s">
        <v>366</v>
      </c>
    </row>
    <row r="69" customFormat="false" ht="15" hidden="false" customHeight="false" outlineLevel="0" collapsed="false">
      <c r="A69" s="8" t="n">
        <v>68</v>
      </c>
      <c r="B69" s="9" t="s">
        <v>367</v>
      </c>
      <c r="C69" s="10" t="s">
        <v>310</v>
      </c>
      <c r="D69" s="10" t="s">
        <v>310</v>
      </c>
      <c r="E69" s="9" t="s">
        <v>368</v>
      </c>
      <c r="F69" s="11" t="s">
        <v>369</v>
      </c>
      <c r="G69" s="10" t="s">
        <v>370</v>
      </c>
      <c r="H69" s="12" t="n">
        <v>5</v>
      </c>
      <c r="I69" s="13" t="n">
        <v>100</v>
      </c>
      <c r="J69" s="9" t="s">
        <v>371</v>
      </c>
      <c r="K69" s="9" t="s">
        <v>372</v>
      </c>
    </row>
    <row r="70" customFormat="false" ht="15" hidden="false" customHeight="false" outlineLevel="0" collapsed="false">
      <c r="A70" s="2" t="n">
        <v>69</v>
      </c>
      <c r="B70" s="3" t="s">
        <v>373</v>
      </c>
      <c r="C70" s="4" t="s">
        <v>310</v>
      </c>
      <c r="D70" s="4" t="s">
        <v>310</v>
      </c>
      <c r="E70" s="3" t="s">
        <v>374</v>
      </c>
      <c r="F70" s="5" t="s">
        <v>348</v>
      </c>
      <c r="G70" s="4" t="s">
        <v>375</v>
      </c>
      <c r="H70" s="6" t="n">
        <v>5</v>
      </c>
      <c r="I70" s="7" t="n">
        <v>20</v>
      </c>
      <c r="J70" s="3" t="s">
        <v>376</v>
      </c>
      <c r="K70" s="3" t="s">
        <v>377</v>
      </c>
    </row>
    <row r="71" customFormat="false" ht="15" hidden="false" customHeight="false" outlineLevel="0" collapsed="false">
      <c r="A71" s="8" t="n">
        <v>70</v>
      </c>
      <c r="B71" s="9" t="s">
        <v>378</v>
      </c>
      <c r="C71" s="10" t="s">
        <v>310</v>
      </c>
      <c r="D71" s="10" t="s">
        <v>310</v>
      </c>
      <c r="E71" s="9" t="s">
        <v>379</v>
      </c>
      <c r="F71" s="11" t="s">
        <v>348</v>
      </c>
      <c r="G71" s="10" t="s">
        <v>380</v>
      </c>
      <c r="H71" s="12" t="n">
        <v>4.4</v>
      </c>
      <c r="I71" s="13" t="n">
        <v>16</v>
      </c>
      <c r="J71" s="9" t="s">
        <v>381</v>
      </c>
      <c r="K71" s="9" t="s">
        <v>382</v>
      </c>
    </row>
    <row r="72" customFormat="false" ht="15" hidden="false" customHeight="false" outlineLevel="0" collapsed="false">
      <c r="A72" s="2" t="n">
        <v>71</v>
      </c>
      <c r="B72" s="3" t="s">
        <v>383</v>
      </c>
      <c r="C72" s="4" t="s">
        <v>310</v>
      </c>
      <c r="D72" s="4" t="s">
        <v>310</v>
      </c>
      <c r="E72" s="3" t="s">
        <v>384</v>
      </c>
      <c r="F72" s="5" t="s">
        <v>369</v>
      </c>
      <c r="G72" s="4" t="s">
        <v>385</v>
      </c>
      <c r="H72" s="6" t="n">
        <v>4.9</v>
      </c>
      <c r="I72" s="7" t="n">
        <v>57</v>
      </c>
      <c r="J72" s="3" t="s">
        <v>386</v>
      </c>
      <c r="K72" s="3" t="s">
        <v>387</v>
      </c>
    </row>
    <row r="73" customFormat="false" ht="15" hidden="false" customHeight="false" outlineLevel="0" collapsed="false">
      <c r="A73" s="8" t="n">
        <v>72</v>
      </c>
      <c r="B73" s="9" t="s">
        <v>388</v>
      </c>
      <c r="C73" s="10" t="s">
        <v>310</v>
      </c>
      <c r="D73" s="10" t="s">
        <v>310</v>
      </c>
      <c r="E73" s="9" t="s">
        <v>389</v>
      </c>
      <c r="F73" s="11" t="s">
        <v>358</v>
      </c>
      <c r="G73" s="10" t="s">
        <v>390</v>
      </c>
      <c r="H73" s="12" t="n">
        <v>5</v>
      </c>
      <c r="I73" s="13" t="n">
        <v>20</v>
      </c>
      <c r="J73" s="9" t="s">
        <v>391</v>
      </c>
      <c r="K73" s="9" t="s">
        <v>392</v>
      </c>
    </row>
    <row r="74" customFormat="false" ht="23.85" hidden="false" customHeight="false" outlineLevel="0" collapsed="false">
      <c r="A74" s="2" t="n">
        <v>73</v>
      </c>
      <c r="B74" s="3" t="s">
        <v>393</v>
      </c>
      <c r="C74" s="4" t="s">
        <v>310</v>
      </c>
      <c r="D74" s="4" t="s">
        <v>310</v>
      </c>
      <c r="E74" s="3" t="s">
        <v>394</v>
      </c>
      <c r="F74" s="5" t="s">
        <v>369</v>
      </c>
      <c r="G74" s="4" t="s">
        <v>395</v>
      </c>
      <c r="H74" s="6" t="n">
        <v>5</v>
      </c>
      <c r="I74" s="7" t="n">
        <v>167</v>
      </c>
      <c r="J74" s="3" t="s">
        <v>396</v>
      </c>
      <c r="K74" s="3" t="s">
        <v>397</v>
      </c>
    </row>
    <row r="75" customFormat="false" ht="23.85" hidden="false" customHeight="false" outlineLevel="0" collapsed="false">
      <c r="A75" s="8" t="n">
        <v>74</v>
      </c>
      <c r="B75" s="9" t="s">
        <v>398</v>
      </c>
      <c r="C75" s="10" t="s">
        <v>310</v>
      </c>
      <c r="D75" s="10" t="s">
        <v>310</v>
      </c>
      <c r="E75" s="9" t="s">
        <v>399</v>
      </c>
      <c r="F75" s="11" t="s">
        <v>348</v>
      </c>
      <c r="G75" s="10" t="s">
        <v>400</v>
      </c>
      <c r="H75" s="12" t="n">
        <v>4.9</v>
      </c>
      <c r="I75" s="13" t="n">
        <v>59</v>
      </c>
      <c r="J75" s="9" t="s">
        <v>329</v>
      </c>
      <c r="K75" s="9" t="s">
        <v>401</v>
      </c>
    </row>
    <row r="76" customFormat="false" ht="15" hidden="false" customHeight="false" outlineLevel="0" collapsed="false">
      <c r="A76" s="2" t="n">
        <v>75</v>
      </c>
      <c r="B76" s="3" t="s">
        <v>402</v>
      </c>
      <c r="C76" s="4" t="s">
        <v>310</v>
      </c>
      <c r="D76" s="4" t="s">
        <v>310</v>
      </c>
      <c r="E76" s="3" t="s">
        <v>403</v>
      </c>
      <c r="F76" s="5" t="s">
        <v>348</v>
      </c>
      <c r="G76" s="4" t="s">
        <v>404</v>
      </c>
      <c r="H76" s="6" t="n">
        <v>5</v>
      </c>
      <c r="I76" s="7" t="n">
        <v>22</v>
      </c>
      <c r="J76" s="3" t="s">
        <v>405</v>
      </c>
      <c r="K76" s="3" t="s">
        <v>406</v>
      </c>
    </row>
    <row r="77" customFormat="false" ht="15" hidden="false" customHeight="false" outlineLevel="0" collapsed="false">
      <c r="A77" s="8" t="n">
        <v>76</v>
      </c>
      <c r="B77" s="9" t="s">
        <v>407</v>
      </c>
      <c r="C77" s="10" t="s">
        <v>408</v>
      </c>
      <c r="D77" s="10" t="s">
        <v>310</v>
      </c>
      <c r="E77" s="9" t="s">
        <v>409</v>
      </c>
      <c r="F77" s="11" t="s">
        <v>334</v>
      </c>
      <c r="G77" s="10" t="s">
        <v>410</v>
      </c>
      <c r="H77" s="12" t="n">
        <v>5</v>
      </c>
      <c r="I77" s="13" t="n">
        <v>25</v>
      </c>
      <c r="J77" s="9" t="s">
        <v>93</v>
      </c>
      <c r="K77" s="9" t="s">
        <v>411</v>
      </c>
    </row>
    <row r="78" customFormat="false" ht="15" hidden="false" customHeight="false" outlineLevel="0" collapsed="false">
      <c r="A78" s="2" t="n">
        <v>77</v>
      </c>
      <c r="B78" s="3" t="s">
        <v>412</v>
      </c>
      <c r="C78" s="4" t="s">
        <v>408</v>
      </c>
      <c r="D78" s="4" t="s">
        <v>310</v>
      </c>
      <c r="E78" s="3" t="s">
        <v>413</v>
      </c>
      <c r="F78" s="5" t="s">
        <v>334</v>
      </c>
      <c r="G78" s="4" t="s">
        <v>414</v>
      </c>
      <c r="H78" s="6" t="n">
        <v>5</v>
      </c>
      <c r="I78" s="7" t="n">
        <v>102</v>
      </c>
      <c r="J78" s="3" t="s">
        <v>415</v>
      </c>
      <c r="K78" s="3" t="s">
        <v>416</v>
      </c>
    </row>
    <row r="79" customFormat="false" ht="15" hidden="false" customHeight="false" outlineLevel="0" collapsed="false">
      <c r="A79" s="8" t="n">
        <v>78</v>
      </c>
      <c r="B79" s="9" t="s">
        <v>417</v>
      </c>
      <c r="C79" s="10" t="s">
        <v>418</v>
      </c>
      <c r="D79" s="10" t="s">
        <v>310</v>
      </c>
      <c r="E79" s="9" t="s">
        <v>419</v>
      </c>
      <c r="F79" s="11" t="s">
        <v>312</v>
      </c>
      <c r="G79" s="10" t="s">
        <v>420</v>
      </c>
      <c r="H79" s="12" t="n">
        <v>5</v>
      </c>
      <c r="I79" s="13" t="n">
        <v>32</v>
      </c>
      <c r="J79" s="9" t="s">
        <v>421</v>
      </c>
      <c r="K79" s="9" t="s">
        <v>422</v>
      </c>
    </row>
    <row r="80" customFormat="false" ht="23.85" hidden="false" customHeight="false" outlineLevel="0" collapsed="false">
      <c r="A80" s="2" t="n">
        <v>79</v>
      </c>
      <c r="B80" s="3" t="s">
        <v>423</v>
      </c>
      <c r="C80" s="4" t="s">
        <v>424</v>
      </c>
      <c r="D80" s="4" t="s">
        <v>310</v>
      </c>
      <c r="E80" s="3" t="s">
        <v>425</v>
      </c>
      <c r="F80" s="5" t="s">
        <v>426</v>
      </c>
      <c r="G80" s="4" t="s">
        <v>427</v>
      </c>
      <c r="H80" s="6" t="n">
        <v>4.4</v>
      </c>
      <c r="I80" s="7" t="n">
        <v>55</v>
      </c>
      <c r="J80" s="3" t="s">
        <v>428</v>
      </c>
      <c r="K80" s="3" t="s">
        <v>429</v>
      </c>
    </row>
    <row r="81" customFormat="false" ht="15" hidden="false" customHeight="false" outlineLevel="0" collapsed="false">
      <c r="A81" s="8" t="n">
        <v>80</v>
      </c>
      <c r="B81" s="9" t="s">
        <v>430</v>
      </c>
      <c r="C81" s="10" t="s">
        <v>424</v>
      </c>
      <c r="D81" s="10" t="s">
        <v>310</v>
      </c>
      <c r="E81" s="9" t="s">
        <v>431</v>
      </c>
      <c r="F81" s="11" t="s">
        <v>426</v>
      </c>
      <c r="G81" s="10" t="s">
        <v>432</v>
      </c>
      <c r="H81" s="12" t="n">
        <v>5</v>
      </c>
      <c r="I81" s="13" t="n">
        <v>27</v>
      </c>
      <c r="J81" s="9" t="s">
        <v>433</v>
      </c>
      <c r="K81" s="9" t="s">
        <v>434</v>
      </c>
    </row>
    <row r="82" customFormat="false" ht="15" hidden="false" customHeight="false" outlineLevel="0" collapsed="false">
      <c r="A82" s="2" t="n">
        <v>81</v>
      </c>
      <c r="B82" s="3" t="s">
        <v>435</v>
      </c>
      <c r="C82" s="4" t="s">
        <v>424</v>
      </c>
      <c r="D82" s="4" t="s">
        <v>310</v>
      </c>
      <c r="E82" s="3" t="s">
        <v>436</v>
      </c>
      <c r="F82" s="5" t="s">
        <v>426</v>
      </c>
      <c r="G82" s="4" t="s">
        <v>437</v>
      </c>
      <c r="H82" s="6" t="n">
        <v>5</v>
      </c>
      <c r="I82" s="7" t="n">
        <v>67</v>
      </c>
      <c r="J82" s="3" t="s">
        <v>438</v>
      </c>
      <c r="K82" s="3" t="s">
        <v>439</v>
      </c>
    </row>
    <row r="83" customFormat="false" ht="15" hidden="false" customHeight="false" outlineLevel="0" collapsed="false">
      <c r="A83" s="8" t="n">
        <v>82</v>
      </c>
      <c r="B83" s="9" t="s">
        <v>440</v>
      </c>
      <c r="C83" s="10" t="s">
        <v>424</v>
      </c>
      <c r="D83" s="10" t="s">
        <v>310</v>
      </c>
      <c r="E83" s="9" t="s">
        <v>441</v>
      </c>
      <c r="F83" s="11" t="s">
        <v>426</v>
      </c>
      <c r="G83" s="10" t="s">
        <v>442</v>
      </c>
      <c r="H83" s="12" t="n">
        <v>5</v>
      </c>
      <c r="I83" s="13" t="n">
        <v>113</v>
      </c>
      <c r="J83" s="9" t="s">
        <v>443</v>
      </c>
      <c r="K83" s="9" t="s">
        <v>444</v>
      </c>
    </row>
    <row r="84" customFormat="false" ht="15" hidden="false" customHeight="false" outlineLevel="0" collapsed="false">
      <c r="A84" s="2" t="n">
        <v>83</v>
      </c>
      <c r="B84" s="3" t="s">
        <v>445</v>
      </c>
      <c r="C84" s="4" t="s">
        <v>424</v>
      </c>
      <c r="D84" s="4" t="s">
        <v>310</v>
      </c>
      <c r="E84" s="3" t="s">
        <v>446</v>
      </c>
      <c r="F84" s="5" t="s">
        <v>426</v>
      </c>
      <c r="G84" s="4" t="s">
        <v>447</v>
      </c>
      <c r="H84" s="6" t="n">
        <v>5</v>
      </c>
      <c r="I84" s="7" t="n">
        <v>7</v>
      </c>
      <c r="J84" s="3" t="s">
        <v>448</v>
      </c>
      <c r="K84" s="3" t="s">
        <v>449</v>
      </c>
    </row>
    <row r="85" customFormat="false" ht="15" hidden="false" customHeight="false" outlineLevel="0" collapsed="false">
      <c r="A85" s="8" t="n">
        <v>84</v>
      </c>
      <c r="B85" s="9" t="s">
        <v>450</v>
      </c>
      <c r="C85" s="10" t="s">
        <v>424</v>
      </c>
      <c r="D85" s="10" t="s">
        <v>310</v>
      </c>
      <c r="E85" s="9" t="s">
        <v>451</v>
      </c>
      <c r="F85" s="11" t="s">
        <v>426</v>
      </c>
      <c r="G85" s="10" t="s">
        <v>452</v>
      </c>
      <c r="H85" s="12" t="n">
        <v>5</v>
      </c>
      <c r="I85" s="13" t="n">
        <v>5</v>
      </c>
      <c r="J85" s="9" t="s">
        <v>453</v>
      </c>
      <c r="K85" s="9" t="s">
        <v>454</v>
      </c>
    </row>
    <row r="86" customFormat="false" ht="15" hidden="false" customHeight="false" outlineLevel="0" collapsed="false">
      <c r="A86" s="2" t="n">
        <v>85</v>
      </c>
      <c r="B86" s="3" t="s">
        <v>455</v>
      </c>
      <c r="C86" s="4" t="s">
        <v>424</v>
      </c>
      <c r="D86" s="4" t="s">
        <v>310</v>
      </c>
      <c r="E86" s="3" t="s">
        <v>456</v>
      </c>
      <c r="F86" s="5" t="s">
        <v>348</v>
      </c>
      <c r="G86" s="4" t="s">
        <v>457</v>
      </c>
      <c r="H86" s="6" t="n">
        <v>4.6</v>
      </c>
      <c r="I86" s="7" t="n">
        <v>31</v>
      </c>
      <c r="J86" s="3" t="s">
        <v>51</v>
      </c>
      <c r="K86" s="3" t="s">
        <v>458</v>
      </c>
    </row>
    <row r="87" customFormat="false" ht="23.85" hidden="false" customHeight="false" outlineLevel="0" collapsed="false">
      <c r="A87" s="8" t="n">
        <v>86</v>
      </c>
      <c r="B87" s="9" t="s">
        <v>459</v>
      </c>
      <c r="C87" s="10" t="s">
        <v>424</v>
      </c>
      <c r="D87" s="10" t="s">
        <v>310</v>
      </c>
      <c r="E87" s="9" t="s">
        <v>460</v>
      </c>
      <c r="F87" s="11" t="s">
        <v>426</v>
      </c>
      <c r="G87" s="10" t="s">
        <v>461</v>
      </c>
      <c r="H87" s="12" t="n">
        <v>5</v>
      </c>
      <c r="I87" s="13" t="n">
        <v>3</v>
      </c>
      <c r="J87" s="9" t="s">
        <v>16</v>
      </c>
      <c r="K87" s="9" t="s">
        <v>462</v>
      </c>
    </row>
    <row r="88" customFormat="false" ht="15" hidden="false" customHeight="false" outlineLevel="0" collapsed="false">
      <c r="A88" s="2" t="n">
        <v>87</v>
      </c>
      <c r="B88" s="3" t="s">
        <v>463</v>
      </c>
      <c r="C88" s="4" t="s">
        <v>464</v>
      </c>
      <c r="D88" s="4" t="s">
        <v>310</v>
      </c>
      <c r="E88" s="3" t="s">
        <v>465</v>
      </c>
      <c r="F88" s="5" t="s">
        <v>334</v>
      </c>
      <c r="G88" s="4" t="s">
        <v>466</v>
      </c>
      <c r="H88" s="6" t="n">
        <v>4.7</v>
      </c>
      <c r="I88" s="7" t="n">
        <v>58</v>
      </c>
      <c r="J88" s="3" t="s">
        <v>467</v>
      </c>
      <c r="K88" s="3" t="s">
        <v>468</v>
      </c>
    </row>
    <row r="89" customFormat="false" ht="15" hidden="false" customHeight="false" outlineLevel="0" collapsed="false">
      <c r="A89" s="8" t="n">
        <v>88</v>
      </c>
      <c r="B89" s="9" t="s">
        <v>469</v>
      </c>
      <c r="C89" s="10" t="s">
        <v>470</v>
      </c>
      <c r="D89" s="10" t="s">
        <v>471</v>
      </c>
      <c r="E89" s="9" t="s">
        <v>472</v>
      </c>
      <c r="F89" s="11" t="s">
        <v>473</v>
      </c>
      <c r="G89" s="10"/>
      <c r="H89" s="12" t="n">
        <v>5</v>
      </c>
      <c r="I89" s="13" t="n">
        <v>3</v>
      </c>
      <c r="J89" s="9" t="s">
        <v>16</v>
      </c>
      <c r="K89" s="9" t="s">
        <v>474</v>
      </c>
    </row>
    <row r="90" customFormat="false" ht="15" hidden="false" customHeight="false" outlineLevel="0" collapsed="false">
      <c r="A90" s="2" t="n">
        <v>89</v>
      </c>
      <c r="B90" s="3" t="s">
        <v>475</v>
      </c>
      <c r="C90" s="4" t="s">
        <v>476</v>
      </c>
      <c r="D90" s="4" t="s">
        <v>471</v>
      </c>
      <c r="E90" s="3" t="s">
        <v>477</v>
      </c>
      <c r="F90" s="5" t="s">
        <v>478</v>
      </c>
      <c r="G90" s="4" t="s">
        <v>479</v>
      </c>
      <c r="H90" s="6" t="n">
        <v>4.6</v>
      </c>
      <c r="I90" s="7" t="n">
        <v>24</v>
      </c>
      <c r="J90" s="3" t="s">
        <v>218</v>
      </c>
      <c r="K90" s="3" t="s">
        <v>480</v>
      </c>
    </row>
    <row r="91" customFormat="false" ht="15" hidden="false" customHeight="false" outlineLevel="0" collapsed="false">
      <c r="A91" s="8" t="n">
        <v>90</v>
      </c>
      <c r="B91" s="9" t="s">
        <v>481</v>
      </c>
      <c r="C91" s="10" t="s">
        <v>476</v>
      </c>
      <c r="D91" s="10" t="s">
        <v>471</v>
      </c>
      <c r="E91" s="9" t="s">
        <v>482</v>
      </c>
      <c r="F91" s="11" t="s">
        <v>478</v>
      </c>
      <c r="G91" s="10" t="s">
        <v>483</v>
      </c>
      <c r="H91" s="12" t="n">
        <v>4.8</v>
      </c>
      <c r="I91" s="13" t="n">
        <v>33</v>
      </c>
      <c r="J91" s="9" t="s">
        <v>484</v>
      </c>
      <c r="K91" s="9" t="s">
        <v>485</v>
      </c>
    </row>
    <row r="92" customFormat="false" ht="15" hidden="false" customHeight="false" outlineLevel="0" collapsed="false">
      <c r="A92" s="2" t="n">
        <v>91</v>
      </c>
      <c r="B92" s="3" t="s">
        <v>486</v>
      </c>
      <c r="C92" s="4" t="s">
        <v>487</v>
      </c>
      <c r="D92" s="4" t="s">
        <v>471</v>
      </c>
      <c r="E92" s="3" t="s">
        <v>488</v>
      </c>
      <c r="F92" s="5" t="s">
        <v>489</v>
      </c>
      <c r="G92" s="4" t="s">
        <v>490</v>
      </c>
      <c r="H92" s="6" t="n">
        <v>4.7</v>
      </c>
      <c r="I92" s="7" t="n">
        <v>12</v>
      </c>
      <c r="J92" s="3" t="s">
        <v>329</v>
      </c>
      <c r="K92" s="3" t="s">
        <v>491</v>
      </c>
    </row>
    <row r="93" customFormat="false" ht="15" hidden="false" customHeight="false" outlineLevel="0" collapsed="false">
      <c r="A93" s="8" t="n">
        <v>92</v>
      </c>
      <c r="B93" s="9" t="s">
        <v>492</v>
      </c>
      <c r="C93" s="10" t="s">
        <v>487</v>
      </c>
      <c r="D93" s="10" t="s">
        <v>471</v>
      </c>
      <c r="E93" s="9" t="s">
        <v>493</v>
      </c>
      <c r="F93" s="11" t="s">
        <v>489</v>
      </c>
      <c r="G93" s="10" t="s">
        <v>494</v>
      </c>
      <c r="H93" s="12" t="n">
        <v>5</v>
      </c>
      <c r="I93" s="13" t="n">
        <v>5</v>
      </c>
      <c r="J93" s="9" t="s">
        <v>16</v>
      </c>
      <c r="K93" s="9" t="s">
        <v>495</v>
      </c>
    </row>
    <row r="94" customFormat="false" ht="15" hidden="false" customHeight="false" outlineLevel="0" collapsed="false">
      <c r="A94" s="2" t="n">
        <v>93</v>
      </c>
      <c r="B94" s="3" t="s">
        <v>496</v>
      </c>
      <c r="C94" s="4" t="s">
        <v>487</v>
      </c>
      <c r="D94" s="4" t="s">
        <v>471</v>
      </c>
      <c r="E94" s="3" t="s">
        <v>497</v>
      </c>
      <c r="F94" s="5" t="s">
        <v>489</v>
      </c>
      <c r="G94" s="4" t="s">
        <v>498</v>
      </c>
      <c r="H94" s="6" t="n">
        <v>4.8</v>
      </c>
      <c r="I94" s="7" t="n">
        <v>18</v>
      </c>
      <c r="J94" s="3" t="s">
        <v>499</v>
      </c>
      <c r="K94" s="3" t="s">
        <v>500</v>
      </c>
    </row>
    <row r="95" customFormat="false" ht="15" hidden="false" customHeight="false" outlineLevel="0" collapsed="false">
      <c r="A95" s="8" t="n">
        <v>94</v>
      </c>
      <c r="B95" s="9" t="s">
        <v>501</v>
      </c>
      <c r="C95" s="10" t="s">
        <v>487</v>
      </c>
      <c r="D95" s="10" t="s">
        <v>471</v>
      </c>
      <c r="E95" s="9" t="s">
        <v>502</v>
      </c>
      <c r="F95" s="11" t="s">
        <v>489</v>
      </c>
      <c r="G95" s="10" t="s">
        <v>503</v>
      </c>
      <c r="H95" s="12" t="n">
        <v>5</v>
      </c>
      <c r="I95" s="13" t="n">
        <v>18</v>
      </c>
      <c r="J95" s="9" t="s">
        <v>504</v>
      </c>
      <c r="K95" s="9" t="s">
        <v>505</v>
      </c>
    </row>
    <row r="96" customFormat="false" ht="15" hidden="false" customHeight="false" outlineLevel="0" collapsed="false">
      <c r="A96" s="2" t="n">
        <v>95</v>
      </c>
      <c r="B96" s="3" t="s">
        <v>506</v>
      </c>
      <c r="C96" s="4" t="s">
        <v>471</v>
      </c>
      <c r="D96" s="4" t="s">
        <v>471</v>
      </c>
      <c r="E96" s="3" t="s">
        <v>507</v>
      </c>
      <c r="F96" s="5" t="s">
        <v>489</v>
      </c>
      <c r="G96" s="4" t="s">
        <v>508</v>
      </c>
      <c r="H96" s="6" t="n">
        <v>5</v>
      </c>
      <c r="I96" s="7" t="n">
        <v>29</v>
      </c>
      <c r="J96" s="3" t="s">
        <v>509</v>
      </c>
      <c r="K96" s="3" t="s">
        <v>510</v>
      </c>
    </row>
    <row r="97" customFormat="false" ht="15" hidden="false" customHeight="false" outlineLevel="0" collapsed="false">
      <c r="A97" s="8" t="n">
        <v>96</v>
      </c>
      <c r="B97" s="9" t="s">
        <v>511</v>
      </c>
      <c r="C97" s="10" t="s">
        <v>471</v>
      </c>
      <c r="D97" s="10" t="s">
        <v>471</v>
      </c>
      <c r="E97" s="9" t="s">
        <v>512</v>
      </c>
      <c r="F97" s="11" t="s">
        <v>489</v>
      </c>
      <c r="G97" s="10" t="s">
        <v>513</v>
      </c>
      <c r="H97" s="12" t="n">
        <v>4.4</v>
      </c>
      <c r="I97" s="13" t="n">
        <v>12</v>
      </c>
      <c r="J97" s="9" t="s">
        <v>514</v>
      </c>
      <c r="K97" s="9" t="s">
        <v>515</v>
      </c>
    </row>
    <row r="98" customFormat="false" ht="15" hidden="false" customHeight="false" outlineLevel="0" collapsed="false">
      <c r="A98" s="2" t="n">
        <v>97</v>
      </c>
      <c r="B98" s="3" t="s">
        <v>516</v>
      </c>
      <c r="C98" s="4" t="s">
        <v>471</v>
      </c>
      <c r="D98" s="4" t="s">
        <v>471</v>
      </c>
      <c r="E98" s="3" t="s">
        <v>517</v>
      </c>
      <c r="F98" s="5" t="s">
        <v>518</v>
      </c>
      <c r="G98" s="4" t="s">
        <v>519</v>
      </c>
      <c r="H98" s="6" t="n">
        <v>5</v>
      </c>
      <c r="I98" s="7" t="n">
        <v>32</v>
      </c>
      <c r="J98" s="3" t="s">
        <v>520</v>
      </c>
      <c r="K98" s="3" t="s">
        <v>521</v>
      </c>
    </row>
    <row r="99" customFormat="false" ht="15" hidden="false" customHeight="false" outlineLevel="0" collapsed="false">
      <c r="A99" s="8" t="n">
        <v>98</v>
      </c>
      <c r="B99" s="9" t="s">
        <v>522</v>
      </c>
      <c r="C99" s="10" t="s">
        <v>523</v>
      </c>
      <c r="D99" s="10" t="s">
        <v>524</v>
      </c>
      <c r="E99" s="9" t="s">
        <v>525</v>
      </c>
      <c r="F99" s="11" t="s">
        <v>526</v>
      </c>
      <c r="G99" s="10" t="s">
        <v>527</v>
      </c>
      <c r="H99" s="12" t="n">
        <v>4.7</v>
      </c>
      <c r="I99" s="13" t="n">
        <v>29</v>
      </c>
      <c r="J99" s="9" t="s">
        <v>528</v>
      </c>
      <c r="K99" s="9" t="s">
        <v>529</v>
      </c>
    </row>
    <row r="100" customFormat="false" ht="15" hidden="false" customHeight="false" outlineLevel="0" collapsed="false">
      <c r="A100" s="2" t="n">
        <v>99</v>
      </c>
      <c r="B100" s="3" t="s">
        <v>530</v>
      </c>
      <c r="C100" s="4" t="s">
        <v>523</v>
      </c>
      <c r="D100" s="4" t="s">
        <v>524</v>
      </c>
      <c r="E100" s="3" t="s">
        <v>531</v>
      </c>
      <c r="F100" s="5" t="s">
        <v>526</v>
      </c>
      <c r="G100" s="4" t="s">
        <v>532</v>
      </c>
      <c r="H100" s="6" t="n">
        <v>4.6</v>
      </c>
      <c r="I100" s="7" t="n">
        <v>20</v>
      </c>
      <c r="J100" s="3" t="s">
        <v>533</v>
      </c>
      <c r="K100" s="3" t="s">
        <v>534</v>
      </c>
    </row>
    <row r="101" customFormat="false" ht="15" hidden="false" customHeight="false" outlineLevel="0" collapsed="false">
      <c r="A101" s="8" t="n">
        <v>100</v>
      </c>
      <c r="B101" s="9" t="s">
        <v>535</v>
      </c>
      <c r="C101" s="10" t="s">
        <v>523</v>
      </c>
      <c r="D101" s="10" t="s">
        <v>524</v>
      </c>
      <c r="E101" s="9" t="s">
        <v>536</v>
      </c>
      <c r="F101" s="11" t="s">
        <v>537</v>
      </c>
      <c r="G101" s="10" t="s">
        <v>538</v>
      </c>
      <c r="H101" s="12" t="n">
        <v>4.4</v>
      </c>
      <c r="I101" s="13" t="n">
        <v>11</v>
      </c>
      <c r="J101" s="9" t="s">
        <v>539</v>
      </c>
      <c r="K101" s="9" t="s">
        <v>540</v>
      </c>
    </row>
    <row r="102" customFormat="false" ht="15" hidden="false" customHeight="false" outlineLevel="0" collapsed="false">
      <c r="A102" s="2" t="n">
        <v>101</v>
      </c>
      <c r="B102" s="3" t="s">
        <v>541</v>
      </c>
      <c r="C102" s="4" t="s">
        <v>523</v>
      </c>
      <c r="D102" s="4" t="s">
        <v>524</v>
      </c>
      <c r="E102" s="3" t="s">
        <v>542</v>
      </c>
      <c r="F102" s="5" t="s">
        <v>526</v>
      </c>
      <c r="G102" s="4" t="s">
        <v>543</v>
      </c>
      <c r="H102" s="6" t="n">
        <v>4.3</v>
      </c>
      <c r="I102" s="7" t="n">
        <v>76</v>
      </c>
      <c r="J102" s="3" t="s">
        <v>544</v>
      </c>
      <c r="K102" s="3" t="s">
        <v>545</v>
      </c>
    </row>
    <row r="103" customFormat="false" ht="15" hidden="false" customHeight="false" outlineLevel="0" collapsed="false">
      <c r="A103" s="8" t="n">
        <v>102</v>
      </c>
      <c r="B103" s="9" t="s">
        <v>546</v>
      </c>
      <c r="C103" s="10" t="s">
        <v>523</v>
      </c>
      <c r="D103" s="10" t="s">
        <v>524</v>
      </c>
      <c r="E103" s="9" t="s">
        <v>547</v>
      </c>
      <c r="F103" s="11" t="s">
        <v>526</v>
      </c>
      <c r="G103" s="10" t="s">
        <v>548</v>
      </c>
      <c r="H103" s="12" t="n">
        <v>4.1</v>
      </c>
      <c r="I103" s="13" t="n">
        <v>34</v>
      </c>
      <c r="J103" s="9" t="s">
        <v>549</v>
      </c>
      <c r="K103" s="9" t="s">
        <v>550</v>
      </c>
    </row>
    <row r="104" customFormat="false" ht="15" hidden="false" customHeight="false" outlineLevel="0" collapsed="false">
      <c r="A104" s="2" t="n">
        <v>103</v>
      </c>
      <c r="B104" s="3" t="s">
        <v>551</v>
      </c>
      <c r="C104" s="4" t="s">
        <v>552</v>
      </c>
      <c r="D104" s="4" t="s">
        <v>524</v>
      </c>
      <c r="E104" s="3" t="s">
        <v>553</v>
      </c>
      <c r="F104" s="5" t="s">
        <v>554</v>
      </c>
      <c r="G104" s="4" t="s">
        <v>555</v>
      </c>
      <c r="H104" s="6" t="n">
        <v>4.8</v>
      </c>
      <c r="I104" s="7" t="n">
        <v>54</v>
      </c>
      <c r="J104" s="3" t="s">
        <v>556</v>
      </c>
      <c r="K104" s="3" t="s">
        <v>557</v>
      </c>
    </row>
    <row r="105" customFormat="false" ht="15" hidden="false" customHeight="false" outlineLevel="0" collapsed="false">
      <c r="A105" s="8" t="n">
        <v>104</v>
      </c>
      <c r="B105" s="9" t="s">
        <v>558</v>
      </c>
      <c r="C105" s="10" t="s">
        <v>552</v>
      </c>
      <c r="D105" s="10" t="s">
        <v>524</v>
      </c>
      <c r="E105" s="9" t="s">
        <v>559</v>
      </c>
      <c r="F105" s="11" t="s">
        <v>554</v>
      </c>
      <c r="G105" s="10" t="s">
        <v>560</v>
      </c>
      <c r="H105" s="12" t="n">
        <v>4.5</v>
      </c>
      <c r="I105" s="13" t="n">
        <v>41</v>
      </c>
      <c r="J105" s="9" t="s">
        <v>561</v>
      </c>
      <c r="K105" s="9" t="s">
        <v>562</v>
      </c>
    </row>
    <row r="106" customFormat="false" ht="15" hidden="false" customHeight="false" outlineLevel="0" collapsed="false">
      <c r="A106" s="2" t="n">
        <v>105</v>
      </c>
      <c r="B106" s="3" t="s">
        <v>563</v>
      </c>
      <c r="C106" s="4" t="s">
        <v>524</v>
      </c>
      <c r="D106" s="4" t="s">
        <v>524</v>
      </c>
      <c r="E106" s="3" t="s">
        <v>564</v>
      </c>
      <c r="F106" s="5" t="s">
        <v>565</v>
      </c>
      <c r="G106" s="4" t="s">
        <v>566</v>
      </c>
      <c r="H106" s="6" t="n">
        <v>5</v>
      </c>
      <c r="I106" s="7" t="n">
        <v>31</v>
      </c>
      <c r="J106" s="3" t="s">
        <v>567</v>
      </c>
      <c r="K106" s="3" t="s">
        <v>568</v>
      </c>
    </row>
    <row r="107" customFormat="false" ht="15" hidden="false" customHeight="false" outlineLevel="0" collapsed="false">
      <c r="A107" s="8" t="n">
        <v>106</v>
      </c>
      <c r="B107" s="9" t="s">
        <v>569</v>
      </c>
      <c r="C107" s="10" t="s">
        <v>524</v>
      </c>
      <c r="D107" s="10" t="s">
        <v>524</v>
      </c>
      <c r="E107" s="9" t="s">
        <v>570</v>
      </c>
      <c r="F107" s="11" t="s">
        <v>565</v>
      </c>
      <c r="G107" s="10" t="s">
        <v>571</v>
      </c>
      <c r="H107" s="12" t="n">
        <v>4.9</v>
      </c>
      <c r="I107" s="13" t="n">
        <v>30</v>
      </c>
      <c r="J107" s="9" t="s">
        <v>556</v>
      </c>
      <c r="K107" s="9" t="s">
        <v>572</v>
      </c>
    </row>
    <row r="108" customFormat="false" ht="15" hidden="false" customHeight="false" outlineLevel="0" collapsed="false">
      <c r="A108" s="2" t="n">
        <v>107</v>
      </c>
      <c r="B108" s="3" t="s">
        <v>573</v>
      </c>
      <c r="C108" s="4" t="s">
        <v>524</v>
      </c>
      <c r="D108" s="4" t="s">
        <v>524</v>
      </c>
      <c r="E108" s="3" t="s">
        <v>574</v>
      </c>
      <c r="F108" s="5" t="s">
        <v>565</v>
      </c>
      <c r="G108" s="4" t="s">
        <v>575</v>
      </c>
      <c r="H108" s="6" t="n">
        <v>5</v>
      </c>
      <c r="I108" s="7" t="n">
        <v>33</v>
      </c>
      <c r="J108" s="3" t="s">
        <v>576</v>
      </c>
      <c r="K108" s="3" t="s">
        <v>577</v>
      </c>
    </row>
    <row r="109" customFormat="false" ht="15" hidden="false" customHeight="false" outlineLevel="0" collapsed="false">
      <c r="A109" s="8" t="n">
        <v>108</v>
      </c>
      <c r="B109" s="9" t="s">
        <v>578</v>
      </c>
      <c r="C109" s="10" t="s">
        <v>524</v>
      </c>
      <c r="D109" s="10" t="s">
        <v>524</v>
      </c>
      <c r="E109" s="9" t="s">
        <v>579</v>
      </c>
      <c r="F109" s="11" t="s">
        <v>565</v>
      </c>
      <c r="G109" s="10" t="s">
        <v>580</v>
      </c>
      <c r="H109" s="12" t="n">
        <v>4.8</v>
      </c>
      <c r="I109" s="13" t="n">
        <v>20</v>
      </c>
      <c r="J109" s="9" t="s">
        <v>16</v>
      </c>
      <c r="K109" s="9" t="s">
        <v>581</v>
      </c>
    </row>
    <row r="110" customFormat="false" ht="23.85" hidden="false" customHeight="false" outlineLevel="0" collapsed="false">
      <c r="A110" s="2" t="n">
        <v>109</v>
      </c>
      <c r="B110" s="3" t="s">
        <v>582</v>
      </c>
      <c r="C110" s="4" t="s">
        <v>524</v>
      </c>
      <c r="D110" s="4" t="s">
        <v>524</v>
      </c>
      <c r="E110" s="3" t="s">
        <v>583</v>
      </c>
      <c r="F110" s="5" t="s">
        <v>565</v>
      </c>
      <c r="G110" s="4" t="s">
        <v>584</v>
      </c>
      <c r="H110" s="6" t="n">
        <v>4.8</v>
      </c>
      <c r="I110" s="7" t="n">
        <v>77</v>
      </c>
      <c r="J110" s="3" t="s">
        <v>585</v>
      </c>
      <c r="K110" s="3" t="s">
        <v>586</v>
      </c>
    </row>
    <row r="111" customFormat="false" ht="15" hidden="false" customHeight="false" outlineLevel="0" collapsed="false">
      <c r="A111" s="8" t="n">
        <v>110</v>
      </c>
      <c r="B111" s="9" t="s">
        <v>587</v>
      </c>
      <c r="C111" s="10" t="s">
        <v>524</v>
      </c>
      <c r="D111" s="10" t="s">
        <v>524</v>
      </c>
      <c r="E111" s="9" t="s">
        <v>588</v>
      </c>
      <c r="F111" s="11" t="s">
        <v>565</v>
      </c>
      <c r="G111" s="10" t="s">
        <v>589</v>
      </c>
      <c r="H111" s="12" t="n">
        <v>4.8</v>
      </c>
      <c r="I111" s="13" t="n">
        <v>46</v>
      </c>
      <c r="J111" s="9" t="s">
        <v>244</v>
      </c>
      <c r="K111" s="9" t="s">
        <v>590</v>
      </c>
    </row>
    <row r="112" customFormat="false" ht="23.85" hidden="false" customHeight="false" outlineLevel="0" collapsed="false">
      <c r="A112" s="2" t="n">
        <v>111</v>
      </c>
      <c r="B112" s="3" t="s">
        <v>591</v>
      </c>
      <c r="C112" s="4" t="s">
        <v>524</v>
      </c>
      <c r="D112" s="4" t="s">
        <v>524</v>
      </c>
      <c r="E112" s="3" t="s">
        <v>592</v>
      </c>
      <c r="F112" s="5" t="s">
        <v>554</v>
      </c>
      <c r="G112" s="4" t="s">
        <v>593</v>
      </c>
      <c r="H112" s="6" t="n">
        <v>4.9</v>
      </c>
      <c r="I112" s="7" t="n">
        <v>136</v>
      </c>
      <c r="J112" s="3" t="s">
        <v>594</v>
      </c>
      <c r="K112" s="3" t="s">
        <v>595</v>
      </c>
    </row>
    <row r="113" customFormat="false" ht="15" hidden="false" customHeight="false" outlineLevel="0" collapsed="false">
      <c r="A113" s="8" t="n">
        <v>112</v>
      </c>
      <c r="B113" s="9" t="s">
        <v>596</v>
      </c>
      <c r="C113" s="10" t="s">
        <v>524</v>
      </c>
      <c r="D113" s="10" t="s">
        <v>524</v>
      </c>
      <c r="E113" s="9" t="s">
        <v>597</v>
      </c>
      <c r="F113" s="11" t="s">
        <v>565</v>
      </c>
      <c r="G113" s="10" t="s">
        <v>598</v>
      </c>
      <c r="H113" s="12" t="n">
        <v>4.6</v>
      </c>
      <c r="I113" s="13" t="n">
        <v>21</v>
      </c>
      <c r="J113" s="9" t="s">
        <v>599</v>
      </c>
      <c r="K113" s="9" t="s">
        <v>600</v>
      </c>
    </row>
    <row r="114" customFormat="false" ht="15" hidden="false" customHeight="false" outlineLevel="0" collapsed="false">
      <c r="A114" s="2" t="n">
        <v>113</v>
      </c>
      <c r="B114" s="3" t="s">
        <v>601</v>
      </c>
      <c r="C114" s="4" t="s">
        <v>602</v>
      </c>
      <c r="D114" s="4" t="s">
        <v>524</v>
      </c>
      <c r="E114" s="3" t="s">
        <v>603</v>
      </c>
      <c r="F114" s="5" t="s">
        <v>537</v>
      </c>
      <c r="G114" s="4" t="s">
        <v>604</v>
      </c>
      <c r="H114" s="6"/>
      <c r="I114" s="7"/>
      <c r="J114" s="3" t="s">
        <v>605</v>
      </c>
      <c r="K114" s="3" t="s">
        <v>606</v>
      </c>
    </row>
    <row r="115" customFormat="false" ht="15" hidden="false" customHeight="false" outlineLevel="0" collapsed="false">
      <c r="A115" s="8" t="n">
        <v>114</v>
      </c>
      <c r="B115" s="9" t="s">
        <v>607</v>
      </c>
      <c r="C115" s="10" t="s">
        <v>602</v>
      </c>
      <c r="D115" s="10" t="s">
        <v>524</v>
      </c>
      <c r="E115" s="9" t="s">
        <v>608</v>
      </c>
      <c r="F115" s="11" t="s">
        <v>537</v>
      </c>
      <c r="G115" s="10" t="s">
        <v>609</v>
      </c>
      <c r="H115" s="12" t="n">
        <v>4.8</v>
      </c>
      <c r="I115" s="13" t="n">
        <v>29</v>
      </c>
      <c r="J115" s="9" t="s">
        <v>605</v>
      </c>
      <c r="K115" s="9" t="s">
        <v>610</v>
      </c>
    </row>
    <row r="116" customFormat="false" ht="15" hidden="false" customHeight="false" outlineLevel="0" collapsed="false">
      <c r="A116" s="2" t="n">
        <v>115</v>
      </c>
      <c r="B116" s="3" t="s">
        <v>611</v>
      </c>
      <c r="C116" s="4" t="s">
        <v>612</v>
      </c>
      <c r="D116" s="4" t="s">
        <v>613</v>
      </c>
      <c r="E116" s="3" t="s">
        <v>614</v>
      </c>
      <c r="F116" s="5" t="s">
        <v>238</v>
      </c>
      <c r="G116" s="4"/>
      <c r="H116" s="6" t="n">
        <v>4.6</v>
      </c>
      <c r="I116" s="7" t="n">
        <v>25</v>
      </c>
      <c r="J116" s="3" t="s">
        <v>615</v>
      </c>
      <c r="K116" s="3" t="s">
        <v>616</v>
      </c>
    </row>
    <row r="117" customFormat="false" ht="15" hidden="false" customHeight="false" outlineLevel="0" collapsed="false">
      <c r="A117" s="8" t="n">
        <v>116</v>
      </c>
      <c r="B117" s="9" t="s">
        <v>617</v>
      </c>
      <c r="C117" s="10" t="s">
        <v>612</v>
      </c>
      <c r="D117" s="10" t="s">
        <v>613</v>
      </c>
      <c r="E117" s="9" t="s">
        <v>618</v>
      </c>
      <c r="F117" s="11" t="s">
        <v>238</v>
      </c>
      <c r="G117" s="10" t="s">
        <v>619</v>
      </c>
      <c r="H117" s="12" t="n">
        <v>5</v>
      </c>
      <c r="I117" s="13" t="n">
        <v>30</v>
      </c>
      <c r="J117" s="9" t="s">
        <v>27</v>
      </c>
      <c r="K117" s="9" t="s">
        <v>620</v>
      </c>
    </row>
    <row r="118" customFormat="false" ht="15" hidden="false" customHeight="false" outlineLevel="0" collapsed="false">
      <c r="A118" s="2" t="n">
        <v>117</v>
      </c>
      <c r="B118" s="3" t="s">
        <v>621</v>
      </c>
      <c r="C118" s="4" t="s">
        <v>612</v>
      </c>
      <c r="D118" s="4" t="s">
        <v>613</v>
      </c>
      <c r="E118" s="3" t="s">
        <v>622</v>
      </c>
      <c r="F118" s="5" t="s">
        <v>238</v>
      </c>
      <c r="G118" s="4" t="s">
        <v>623</v>
      </c>
      <c r="H118" s="6" t="n">
        <v>5</v>
      </c>
      <c r="I118" s="7" t="n">
        <v>11</v>
      </c>
      <c r="J118" s="3" t="s">
        <v>254</v>
      </c>
      <c r="K118" s="3" t="s">
        <v>624</v>
      </c>
    </row>
    <row r="119" customFormat="false" ht="15" hidden="false" customHeight="false" outlineLevel="0" collapsed="false">
      <c r="A119" s="8" t="n">
        <v>118</v>
      </c>
      <c r="B119" s="9" t="s">
        <v>625</v>
      </c>
      <c r="C119" s="10" t="s">
        <v>613</v>
      </c>
      <c r="D119" s="10" t="s">
        <v>613</v>
      </c>
      <c r="E119" s="9" t="s">
        <v>626</v>
      </c>
      <c r="F119" s="11" t="s">
        <v>627</v>
      </c>
      <c r="G119" s="10" t="s">
        <v>628</v>
      </c>
      <c r="H119" s="12" t="n">
        <v>4.6</v>
      </c>
      <c r="I119" s="13" t="n">
        <v>14</v>
      </c>
      <c r="J119" s="9" t="s">
        <v>629</v>
      </c>
      <c r="K119" s="9" t="s">
        <v>630</v>
      </c>
    </row>
    <row r="120" customFormat="false" ht="15" hidden="false" customHeight="false" outlineLevel="0" collapsed="false">
      <c r="A120" s="2" t="n">
        <v>119</v>
      </c>
      <c r="B120" s="3" t="s">
        <v>631</v>
      </c>
      <c r="C120" s="4" t="s">
        <v>632</v>
      </c>
      <c r="D120" s="4" t="s">
        <v>613</v>
      </c>
      <c r="E120" s="3" t="s">
        <v>633</v>
      </c>
      <c r="F120" s="5" t="s">
        <v>627</v>
      </c>
      <c r="G120" s="4" t="s">
        <v>634</v>
      </c>
      <c r="H120" s="6" t="n">
        <v>4.6</v>
      </c>
      <c r="I120" s="7" t="n">
        <v>36</v>
      </c>
      <c r="J120" s="3" t="s">
        <v>635</v>
      </c>
      <c r="K120" s="3" t="s">
        <v>636</v>
      </c>
    </row>
    <row r="121" customFormat="false" ht="15" hidden="false" customHeight="false" outlineLevel="0" collapsed="false">
      <c r="A121" s="8" t="n">
        <v>120</v>
      </c>
      <c r="B121" s="9" t="s">
        <v>637</v>
      </c>
      <c r="C121" s="10" t="s">
        <v>632</v>
      </c>
      <c r="D121" s="10" t="s">
        <v>613</v>
      </c>
      <c r="E121" s="9" t="s">
        <v>638</v>
      </c>
      <c r="F121" s="11" t="s">
        <v>627</v>
      </c>
      <c r="G121" s="10" t="s">
        <v>639</v>
      </c>
      <c r="H121" s="12" t="n">
        <v>4.5</v>
      </c>
      <c r="I121" s="13" t="n">
        <v>39</v>
      </c>
      <c r="J121" s="9" t="s">
        <v>127</v>
      </c>
      <c r="K121" s="9" t="s">
        <v>640</v>
      </c>
    </row>
    <row r="122" customFormat="false" ht="15" hidden="false" customHeight="false" outlineLevel="0" collapsed="false">
      <c r="A122" s="2" t="n">
        <v>121</v>
      </c>
      <c r="B122" s="3" t="s">
        <v>641</v>
      </c>
      <c r="C122" s="4" t="s">
        <v>642</v>
      </c>
      <c r="D122" s="4" t="s">
        <v>643</v>
      </c>
      <c r="E122" s="3" t="s">
        <v>644</v>
      </c>
      <c r="F122" s="5" t="s">
        <v>645</v>
      </c>
      <c r="G122" s="4" t="s">
        <v>646</v>
      </c>
      <c r="H122" s="6" t="n">
        <v>5</v>
      </c>
      <c r="I122" s="7" t="n">
        <v>6</v>
      </c>
      <c r="J122" s="3" t="s">
        <v>647</v>
      </c>
      <c r="K122" s="3" t="s">
        <v>648</v>
      </c>
    </row>
    <row r="123" customFormat="false" ht="15" hidden="false" customHeight="false" outlineLevel="0" collapsed="false">
      <c r="A123" s="8" t="n">
        <v>122</v>
      </c>
      <c r="B123" s="9" t="s">
        <v>649</v>
      </c>
      <c r="C123" s="10" t="s">
        <v>642</v>
      </c>
      <c r="D123" s="10" t="s">
        <v>643</v>
      </c>
      <c r="E123" s="9" t="s">
        <v>650</v>
      </c>
      <c r="F123" s="11" t="s">
        <v>645</v>
      </c>
      <c r="G123" s="10" t="s">
        <v>651</v>
      </c>
      <c r="H123" s="12" t="n">
        <v>4.8</v>
      </c>
      <c r="I123" s="13" t="n">
        <v>23</v>
      </c>
      <c r="J123" s="9" t="s">
        <v>93</v>
      </c>
      <c r="K123" s="9" t="s">
        <v>652</v>
      </c>
    </row>
    <row r="124" customFormat="false" ht="15" hidden="false" customHeight="false" outlineLevel="0" collapsed="false">
      <c r="A124" s="2" t="n">
        <v>123</v>
      </c>
      <c r="B124" s="3" t="s">
        <v>653</v>
      </c>
      <c r="C124" s="4" t="s">
        <v>642</v>
      </c>
      <c r="D124" s="4" t="s">
        <v>643</v>
      </c>
      <c r="E124" s="3" t="s">
        <v>654</v>
      </c>
      <c r="F124" s="5" t="s">
        <v>645</v>
      </c>
      <c r="G124" s="4" t="s">
        <v>655</v>
      </c>
      <c r="H124" s="6" t="n">
        <v>4.9</v>
      </c>
      <c r="I124" s="7" t="n">
        <v>97</v>
      </c>
      <c r="J124" s="3" t="s">
        <v>656</v>
      </c>
      <c r="K124" s="3" t="s">
        <v>657</v>
      </c>
    </row>
    <row r="125" customFormat="false" ht="15" hidden="false" customHeight="false" outlineLevel="0" collapsed="false">
      <c r="A125" s="8" t="n">
        <v>124</v>
      </c>
      <c r="B125" s="9" t="s">
        <v>658</v>
      </c>
      <c r="C125" s="10" t="s">
        <v>659</v>
      </c>
      <c r="D125" s="10" t="s">
        <v>643</v>
      </c>
      <c r="E125" s="9" t="s">
        <v>660</v>
      </c>
      <c r="F125" s="11" t="s">
        <v>661</v>
      </c>
      <c r="G125" s="10" t="s">
        <v>662</v>
      </c>
      <c r="H125" s="12" t="n">
        <v>4.6</v>
      </c>
      <c r="I125" s="13" t="n">
        <v>11</v>
      </c>
      <c r="J125" s="9" t="s">
        <v>663</v>
      </c>
      <c r="K125" s="9" t="s">
        <v>664</v>
      </c>
    </row>
    <row r="126" customFormat="false" ht="15" hidden="false" customHeight="false" outlineLevel="0" collapsed="false">
      <c r="A126" s="2" t="n">
        <v>125</v>
      </c>
      <c r="B126" s="3" t="s">
        <v>665</v>
      </c>
      <c r="C126" s="4" t="s">
        <v>659</v>
      </c>
      <c r="D126" s="4" t="s">
        <v>643</v>
      </c>
      <c r="E126" s="3" t="s">
        <v>666</v>
      </c>
      <c r="F126" s="5" t="s">
        <v>661</v>
      </c>
      <c r="G126" s="4" t="s">
        <v>667</v>
      </c>
      <c r="H126" s="6" t="n">
        <v>5</v>
      </c>
      <c r="I126" s="7" t="n">
        <v>2</v>
      </c>
      <c r="J126" s="3" t="s">
        <v>668</v>
      </c>
      <c r="K126" s="3" t="s">
        <v>669</v>
      </c>
    </row>
    <row r="127" customFormat="false" ht="23.85" hidden="false" customHeight="false" outlineLevel="0" collapsed="false">
      <c r="A127" s="8" t="n">
        <v>126</v>
      </c>
      <c r="B127" s="9" t="s">
        <v>670</v>
      </c>
      <c r="C127" s="10" t="s">
        <v>671</v>
      </c>
      <c r="D127" s="10" t="s">
        <v>643</v>
      </c>
      <c r="E127" s="9" t="s">
        <v>672</v>
      </c>
      <c r="F127" s="11" t="s">
        <v>645</v>
      </c>
      <c r="G127" s="10" t="s">
        <v>673</v>
      </c>
      <c r="H127" s="12" t="n">
        <v>4.9</v>
      </c>
      <c r="I127" s="13" t="n">
        <v>33</v>
      </c>
      <c r="J127" s="9" t="s">
        <v>51</v>
      </c>
      <c r="K127" s="9" t="s">
        <v>674</v>
      </c>
    </row>
    <row r="128" customFormat="false" ht="23.85" hidden="false" customHeight="false" outlineLevel="0" collapsed="false">
      <c r="A128" s="2" t="n">
        <v>127</v>
      </c>
      <c r="B128" s="3" t="s">
        <v>675</v>
      </c>
      <c r="C128" s="4" t="s">
        <v>671</v>
      </c>
      <c r="D128" s="4" t="s">
        <v>643</v>
      </c>
      <c r="E128" s="3" t="s">
        <v>676</v>
      </c>
      <c r="F128" s="5" t="s">
        <v>645</v>
      </c>
      <c r="G128" s="4" t="s">
        <v>677</v>
      </c>
      <c r="H128" s="6" t="n">
        <v>4.3</v>
      </c>
      <c r="I128" s="7" t="n">
        <v>13</v>
      </c>
      <c r="J128" s="3" t="s">
        <v>678</v>
      </c>
      <c r="K128" s="3" t="s">
        <v>679</v>
      </c>
    </row>
    <row r="129" customFormat="false" ht="15" hidden="false" customHeight="false" outlineLevel="0" collapsed="false">
      <c r="A129" s="8" t="n">
        <v>128</v>
      </c>
      <c r="B129" s="9" t="s">
        <v>680</v>
      </c>
      <c r="C129" s="10" t="s">
        <v>643</v>
      </c>
      <c r="D129" s="10" t="s">
        <v>643</v>
      </c>
      <c r="E129" s="9" t="s">
        <v>681</v>
      </c>
      <c r="F129" s="11" t="s">
        <v>682</v>
      </c>
      <c r="G129" s="10" t="s">
        <v>683</v>
      </c>
      <c r="H129" s="12" t="n">
        <v>4.9</v>
      </c>
      <c r="I129" s="13" t="n">
        <v>59</v>
      </c>
      <c r="J129" s="9" t="s">
        <v>684</v>
      </c>
      <c r="K129" s="9" t="s">
        <v>685</v>
      </c>
    </row>
    <row r="130" customFormat="false" ht="23.85" hidden="false" customHeight="false" outlineLevel="0" collapsed="false">
      <c r="A130" s="2" t="n">
        <v>129</v>
      </c>
      <c r="B130" s="3" t="s">
        <v>686</v>
      </c>
      <c r="C130" s="4" t="s">
        <v>643</v>
      </c>
      <c r="D130" s="4" t="s">
        <v>643</v>
      </c>
      <c r="E130" s="3" t="s">
        <v>687</v>
      </c>
      <c r="F130" s="5" t="s">
        <v>682</v>
      </c>
      <c r="G130" s="4" t="s">
        <v>688</v>
      </c>
      <c r="H130" s="6" t="n">
        <v>4.8</v>
      </c>
      <c r="I130" s="7" t="n">
        <v>49</v>
      </c>
      <c r="J130" s="3" t="s">
        <v>689</v>
      </c>
      <c r="K130" s="3" t="s">
        <v>690</v>
      </c>
    </row>
    <row r="131" customFormat="false" ht="15" hidden="false" customHeight="false" outlineLevel="0" collapsed="false">
      <c r="A131" s="8" t="n">
        <v>130</v>
      </c>
      <c r="B131" s="9" t="s">
        <v>691</v>
      </c>
      <c r="C131" s="10" t="s">
        <v>643</v>
      </c>
      <c r="D131" s="10" t="s">
        <v>643</v>
      </c>
      <c r="E131" s="9" t="s">
        <v>692</v>
      </c>
      <c r="F131" s="11" t="s">
        <v>682</v>
      </c>
      <c r="G131" s="10" t="s">
        <v>693</v>
      </c>
      <c r="H131" s="12" t="n">
        <v>4.7</v>
      </c>
      <c r="I131" s="13" t="n">
        <v>26</v>
      </c>
      <c r="J131" s="9" t="s">
        <v>93</v>
      </c>
      <c r="K131" s="9" t="s">
        <v>694</v>
      </c>
    </row>
    <row r="132" customFormat="false" ht="15" hidden="false" customHeight="false" outlineLevel="0" collapsed="false">
      <c r="A132" s="2" t="n">
        <v>131</v>
      </c>
      <c r="B132" s="3" t="s">
        <v>695</v>
      </c>
      <c r="C132" s="4" t="s">
        <v>643</v>
      </c>
      <c r="D132" s="4" t="s">
        <v>643</v>
      </c>
      <c r="E132" s="3" t="s">
        <v>696</v>
      </c>
      <c r="F132" s="5" t="s">
        <v>682</v>
      </c>
      <c r="G132" s="4" t="s">
        <v>697</v>
      </c>
      <c r="H132" s="6" t="n">
        <v>4.9</v>
      </c>
      <c r="I132" s="7" t="n">
        <v>58</v>
      </c>
      <c r="J132" s="3" t="s">
        <v>46</v>
      </c>
      <c r="K132" s="3" t="s">
        <v>698</v>
      </c>
    </row>
    <row r="133" customFormat="false" ht="15" hidden="false" customHeight="false" outlineLevel="0" collapsed="false">
      <c r="A133" s="8" t="n">
        <v>132</v>
      </c>
      <c r="B133" s="9" t="s">
        <v>699</v>
      </c>
      <c r="C133" s="10" t="s">
        <v>643</v>
      </c>
      <c r="D133" s="10" t="s">
        <v>643</v>
      </c>
      <c r="E133" s="9" t="s">
        <v>700</v>
      </c>
      <c r="F133" s="11" t="s">
        <v>682</v>
      </c>
      <c r="G133" s="10" t="s">
        <v>701</v>
      </c>
      <c r="H133" s="12" t="n">
        <v>5</v>
      </c>
      <c r="I133" s="13" t="n">
        <v>86</v>
      </c>
      <c r="J133" s="9" t="s">
        <v>467</v>
      </c>
      <c r="K133" s="9" t="s">
        <v>702</v>
      </c>
    </row>
    <row r="134" customFormat="false" ht="15" hidden="false" customHeight="false" outlineLevel="0" collapsed="false">
      <c r="A134" s="2" t="n">
        <v>133</v>
      </c>
      <c r="B134" s="3" t="s">
        <v>703</v>
      </c>
      <c r="C134" s="4" t="s">
        <v>704</v>
      </c>
      <c r="D134" s="4" t="s">
        <v>643</v>
      </c>
      <c r="E134" s="3" t="s">
        <v>705</v>
      </c>
      <c r="F134" s="5" t="s">
        <v>661</v>
      </c>
      <c r="G134" s="4" t="s">
        <v>706</v>
      </c>
      <c r="H134" s="6" t="n">
        <v>5</v>
      </c>
      <c r="I134" s="7" t="n">
        <v>1</v>
      </c>
      <c r="J134" s="3" t="s">
        <v>707</v>
      </c>
      <c r="K134" s="3" t="s">
        <v>708</v>
      </c>
    </row>
    <row r="135" customFormat="false" ht="15" hidden="false" customHeight="false" outlineLevel="0" collapsed="false">
      <c r="A135" s="8" t="n">
        <v>134</v>
      </c>
      <c r="B135" s="9" t="s">
        <v>709</v>
      </c>
      <c r="C135" s="10" t="s">
        <v>704</v>
      </c>
      <c r="D135" s="10" t="s">
        <v>643</v>
      </c>
      <c r="E135" s="9" t="s">
        <v>710</v>
      </c>
      <c r="F135" s="11" t="s">
        <v>661</v>
      </c>
      <c r="G135" s="10" t="s">
        <v>711</v>
      </c>
      <c r="H135" s="12" t="n">
        <v>4.9</v>
      </c>
      <c r="I135" s="13" t="n">
        <v>48</v>
      </c>
      <c r="J135" s="9" t="s">
        <v>712</v>
      </c>
      <c r="K135" s="9" t="s">
        <v>713</v>
      </c>
    </row>
    <row r="136" customFormat="false" ht="15" hidden="false" customHeight="false" outlineLevel="0" collapsed="false">
      <c r="A136" s="2" t="n">
        <v>135</v>
      </c>
      <c r="B136" s="3" t="s">
        <v>714</v>
      </c>
      <c r="C136" s="4" t="s">
        <v>704</v>
      </c>
      <c r="D136" s="4" t="s">
        <v>643</v>
      </c>
      <c r="E136" s="3" t="s">
        <v>715</v>
      </c>
      <c r="F136" s="5" t="s">
        <v>661</v>
      </c>
      <c r="G136" s="4" t="s">
        <v>716</v>
      </c>
      <c r="H136" s="6"/>
      <c r="I136" s="7"/>
      <c r="J136" s="3" t="s">
        <v>717</v>
      </c>
      <c r="K136" s="3" t="s">
        <v>718</v>
      </c>
    </row>
    <row r="137" customFormat="false" ht="15" hidden="false" customHeight="false" outlineLevel="0" collapsed="false">
      <c r="A137" s="8" t="n">
        <v>136</v>
      </c>
      <c r="B137" s="9" t="s">
        <v>719</v>
      </c>
      <c r="C137" s="10" t="s">
        <v>720</v>
      </c>
      <c r="D137" s="10" t="s">
        <v>643</v>
      </c>
      <c r="E137" s="9" t="s">
        <v>721</v>
      </c>
      <c r="F137" s="11" t="s">
        <v>661</v>
      </c>
      <c r="G137" s="10" t="s">
        <v>722</v>
      </c>
      <c r="H137" s="12" t="n">
        <v>5</v>
      </c>
      <c r="I137" s="13" t="n">
        <v>7</v>
      </c>
      <c r="J137" s="9" t="s">
        <v>16</v>
      </c>
      <c r="K137" s="9" t="s">
        <v>723</v>
      </c>
    </row>
    <row r="138" customFormat="false" ht="15" hidden="false" customHeight="false" outlineLevel="0" collapsed="false">
      <c r="A138" s="2" t="n">
        <v>137</v>
      </c>
      <c r="B138" s="3" t="s">
        <v>724</v>
      </c>
      <c r="C138" s="4" t="s">
        <v>720</v>
      </c>
      <c r="D138" s="4" t="s">
        <v>643</v>
      </c>
      <c r="E138" s="3" t="s">
        <v>725</v>
      </c>
      <c r="F138" s="5" t="s">
        <v>661</v>
      </c>
      <c r="G138" s="4" t="s">
        <v>208</v>
      </c>
      <c r="H138" s="6"/>
      <c r="I138" s="7"/>
      <c r="J138" s="3" t="s">
        <v>428</v>
      </c>
      <c r="K138" s="3" t="s">
        <v>726</v>
      </c>
    </row>
    <row r="139" customFormat="false" ht="15" hidden="false" customHeight="false" outlineLevel="0" collapsed="false">
      <c r="A139" s="8" t="n">
        <v>138</v>
      </c>
      <c r="B139" s="9" t="s">
        <v>727</v>
      </c>
      <c r="C139" s="10" t="s">
        <v>728</v>
      </c>
      <c r="D139" s="10" t="s">
        <v>643</v>
      </c>
      <c r="E139" s="9" t="s">
        <v>729</v>
      </c>
      <c r="F139" s="11" t="s">
        <v>730</v>
      </c>
      <c r="G139" s="10" t="s">
        <v>731</v>
      </c>
      <c r="H139" s="12" t="n">
        <v>4.3</v>
      </c>
      <c r="I139" s="13" t="n">
        <v>156</v>
      </c>
      <c r="J139" s="9" t="s">
        <v>732</v>
      </c>
      <c r="K139" s="9" t="s">
        <v>733</v>
      </c>
    </row>
    <row r="140" customFormat="false" ht="15" hidden="false" customHeight="false" outlineLevel="0" collapsed="false">
      <c r="A140" s="2" t="n">
        <v>139</v>
      </c>
      <c r="B140" s="3" t="s">
        <v>734</v>
      </c>
      <c r="C140" s="4" t="s">
        <v>728</v>
      </c>
      <c r="D140" s="4" t="s">
        <v>643</v>
      </c>
      <c r="E140" s="3" t="s">
        <v>735</v>
      </c>
      <c r="F140" s="5" t="s">
        <v>730</v>
      </c>
      <c r="G140" s="4" t="s">
        <v>736</v>
      </c>
      <c r="H140" s="6" t="n">
        <v>4.8</v>
      </c>
      <c r="I140" s="7" t="n">
        <v>52</v>
      </c>
      <c r="J140" s="3" t="s">
        <v>737</v>
      </c>
      <c r="K140" s="3" t="s">
        <v>738</v>
      </c>
    </row>
    <row r="141" customFormat="false" ht="23.85" hidden="false" customHeight="false" outlineLevel="0" collapsed="false">
      <c r="A141" s="8" t="n">
        <v>140</v>
      </c>
      <c r="B141" s="9" t="s">
        <v>739</v>
      </c>
      <c r="C141" s="10" t="s">
        <v>728</v>
      </c>
      <c r="D141" s="10" t="s">
        <v>643</v>
      </c>
      <c r="E141" s="9" t="s">
        <v>740</v>
      </c>
      <c r="F141" s="11" t="s">
        <v>730</v>
      </c>
      <c r="G141" s="10" t="s">
        <v>741</v>
      </c>
      <c r="H141" s="12" t="n">
        <v>4.5</v>
      </c>
      <c r="I141" s="13" t="n">
        <v>51</v>
      </c>
      <c r="J141" s="9" t="s">
        <v>209</v>
      </c>
      <c r="K141" s="9" t="s">
        <v>742</v>
      </c>
    </row>
    <row r="142" customFormat="false" ht="15" hidden="false" customHeight="false" outlineLevel="0" collapsed="false">
      <c r="A142" s="2" t="n">
        <v>141</v>
      </c>
      <c r="B142" s="3" t="s">
        <v>743</v>
      </c>
      <c r="C142" s="4" t="s">
        <v>728</v>
      </c>
      <c r="D142" s="4" t="s">
        <v>643</v>
      </c>
      <c r="E142" s="3" t="s">
        <v>744</v>
      </c>
      <c r="F142" s="5" t="s">
        <v>730</v>
      </c>
      <c r="G142" s="4" t="s">
        <v>745</v>
      </c>
      <c r="H142" s="6" t="n">
        <v>4.9</v>
      </c>
      <c r="I142" s="7" t="n">
        <v>44</v>
      </c>
      <c r="J142" s="3" t="s">
        <v>746</v>
      </c>
      <c r="K142" s="3" t="s">
        <v>747</v>
      </c>
    </row>
    <row r="143" customFormat="false" ht="15" hidden="false" customHeight="false" outlineLevel="0" collapsed="false">
      <c r="A143" s="8" t="n">
        <v>142</v>
      </c>
      <c r="B143" s="9" t="s">
        <v>748</v>
      </c>
      <c r="C143" s="10" t="s">
        <v>728</v>
      </c>
      <c r="D143" s="10" t="s">
        <v>643</v>
      </c>
      <c r="E143" s="9" t="s">
        <v>749</v>
      </c>
      <c r="F143" s="11" t="s">
        <v>730</v>
      </c>
      <c r="G143" s="10" t="s">
        <v>750</v>
      </c>
      <c r="H143" s="12" t="n">
        <v>4.9</v>
      </c>
      <c r="I143" s="13" t="n">
        <v>103</v>
      </c>
      <c r="J143" s="9" t="s">
        <v>678</v>
      </c>
      <c r="K143" s="9" t="s">
        <v>751</v>
      </c>
    </row>
    <row r="144" customFormat="false" ht="23.85" hidden="false" customHeight="false" outlineLevel="0" collapsed="false">
      <c r="A144" s="2" t="n">
        <v>143</v>
      </c>
      <c r="B144" s="3" t="s">
        <v>752</v>
      </c>
      <c r="C144" s="4" t="s">
        <v>753</v>
      </c>
      <c r="D144" s="4" t="s">
        <v>754</v>
      </c>
      <c r="E144" s="3" t="s">
        <v>755</v>
      </c>
      <c r="F144" s="5" t="s">
        <v>756</v>
      </c>
      <c r="G144" s="4" t="s">
        <v>757</v>
      </c>
      <c r="H144" s="6" t="n">
        <v>4.7</v>
      </c>
      <c r="I144" s="7" t="n">
        <v>55</v>
      </c>
      <c r="J144" s="3" t="s">
        <v>127</v>
      </c>
      <c r="K144" s="3" t="s">
        <v>758</v>
      </c>
    </row>
    <row r="145" customFormat="false" ht="15" hidden="false" customHeight="false" outlineLevel="0" collapsed="false">
      <c r="A145" s="8" t="n">
        <v>144</v>
      </c>
      <c r="B145" s="9" t="s">
        <v>759</v>
      </c>
      <c r="C145" s="10" t="s">
        <v>753</v>
      </c>
      <c r="D145" s="10" t="s">
        <v>754</v>
      </c>
      <c r="E145" s="9" t="s">
        <v>760</v>
      </c>
      <c r="F145" s="11" t="s">
        <v>756</v>
      </c>
      <c r="G145" s="10" t="s">
        <v>761</v>
      </c>
      <c r="H145" s="12" t="n">
        <v>4.8</v>
      </c>
      <c r="I145" s="13" t="n">
        <v>31</v>
      </c>
      <c r="J145" s="9" t="s">
        <v>51</v>
      </c>
      <c r="K145" s="9" t="s">
        <v>762</v>
      </c>
    </row>
    <row r="146" customFormat="false" ht="15" hidden="false" customHeight="false" outlineLevel="0" collapsed="false">
      <c r="A146" s="2" t="n">
        <v>145</v>
      </c>
      <c r="B146" s="3" t="s">
        <v>763</v>
      </c>
      <c r="C146" s="4" t="s">
        <v>753</v>
      </c>
      <c r="D146" s="4" t="s">
        <v>754</v>
      </c>
      <c r="E146" s="3" t="s">
        <v>764</v>
      </c>
      <c r="F146" s="5" t="s">
        <v>756</v>
      </c>
      <c r="G146" s="4" t="s">
        <v>765</v>
      </c>
      <c r="H146" s="6" t="n">
        <v>5</v>
      </c>
      <c r="I146" s="7" t="n">
        <v>36</v>
      </c>
      <c r="J146" s="3" t="s">
        <v>766</v>
      </c>
      <c r="K146" s="3" t="s">
        <v>767</v>
      </c>
    </row>
    <row r="147" customFormat="false" ht="15" hidden="false" customHeight="false" outlineLevel="0" collapsed="false">
      <c r="A147" s="8" t="n">
        <v>146</v>
      </c>
      <c r="B147" s="9" t="s">
        <v>768</v>
      </c>
      <c r="C147" s="10" t="s">
        <v>753</v>
      </c>
      <c r="D147" s="10" t="s">
        <v>754</v>
      </c>
      <c r="E147" s="9" t="s">
        <v>769</v>
      </c>
      <c r="F147" s="11" t="s">
        <v>756</v>
      </c>
      <c r="G147" s="10" t="s">
        <v>770</v>
      </c>
      <c r="H147" s="12" t="n">
        <v>5</v>
      </c>
      <c r="I147" s="13" t="n">
        <v>76</v>
      </c>
      <c r="J147" s="9" t="s">
        <v>16</v>
      </c>
      <c r="K147" s="9" t="s">
        <v>771</v>
      </c>
    </row>
    <row r="148" customFormat="false" ht="15" hidden="false" customHeight="false" outlineLevel="0" collapsed="false">
      <c r="A148" s="2" t="n">
        <v>147</v>
      </c>
      <c r="B148" s="3" t="s">
        <v>772</v>
      </c>
      <c r="C148" s="4" t="s">
        <v>753</v>
      </c>
      <c r="D148" s="4" t="s">
        <v>754</v>
      </c>
      <c r="E148" s="3" t="s">
        <v>773</v>
      </c>
      <c r="F148" s="5" t="s">
        <v>756</v>
      </c>
      <c r="G148" s="4" t="s">
        <v>774</v>
      </c>
      <c r="H148" s="6" t="n">
        <v>4.8</v>
      </c>
      <c r="I148" s="7" t="n">
        <v>84</v>
      </c>
      <c r="J148" s="3" t="s">
        <v>775</v>
      </c>
      <c r="K148" s="3" t="s">
        <v>776</v>
      </c>
    </row>
    <row r="149" customFormat="false" ht="15" hidden="false" customHeight="false" outlineLevel="0" collapsed="false">
      <c r="A149" s="8" t="n">
        <v>148</v>
      </c>
      <c r="B149" s="9" t="s">
        <v>777</v>
      </c>
      <c r="C149" s="10" t="s">
        <v>778</v>
      </c>
      <c r="D149" s="10" t="s">
        <v>754</v>
      </c>
      <c r="E149" s="9" t="s">
        <v>779</v>
      </c>
      <c r="F149" s="11" t="s">
        <v>780</v>
      </c>
      <c r="G149" s="10" t="s">
        <v>781</v>
      </c>
      <c r="H149" s="12" t="n">
        <v>5</v>
      </c>
      <c r="I149" s="13" t="n">
        <v>15</v>
      </c>
      <c r="J149" s="9" t="s">
        <v>782</v>
      </c>
      <c r="K149" s="9" t="s">
        <v>783</v>
      </c>
    </row>
    <row r="150" customFormat="false" ht="15" hidden="false" customHeight="false" outlineLevel="0" collapsed="false">
      <c r="A150" s="2" t="n">
        <v>149</v>
      </c>
      <c r="B150" s="3" t="s">
        <v>784</v>
      </c>
      <c r="C150" s="4" t="s">
        <v>785</v>
      </c>
      <c r="D150" s="4" t="s">
        <v>754</v>
      </c>
      <c r="E150" s="3" t="s">
        <v>786</v>
      </c>
      <c r="F150" s="5" t="s">
        <v>787</v>
      </c>
      <c r="G150" s="4" t="s">
        <v>788</v>
      </c>
      <c r="H150" s="6" t="n">
        <v>4.5</v>
      </c>
      <c r="I150" s="7" t="n">
        <v>80</v>
      </c>
      <c r="J150" s="3" t="s">
        <v>467</v>
      </c>
      <c r="K150" s="3" t="s">
        <v>789</v>
      </c>
    </row>
    <row r="151" customFormat="false" ht="15" hidden="false" customHeight="false" outlineLevel="0" collapsed="false">
      <c r="A151" s="8" t="n">
        <v>150</v>
      </c>
      <c r="B151" s="9" t="s">
        <v>790</v>
      </c>
      <c r="C151" s="10" t="s">
        <v>785</v>
      </c>
      <c r="D151" s="10" t="s">
        <v>754</v>
      </c>
      <c r="E151" s="9" t="s">
        <v>791</v>
      </c>
      <c r="F151" s="11" t="s">
        <v>787</v>
      </c>
      <c r="G151" s="10" t="s">
        <v>792</v>
      </c>
      <c r="H151" s="12" t="n">
        <v>4.9</v>
      </c>
      <c r="I151" s="13" t="n">
        <v>79</v>
      </c>
      <c r="J151" s="9" t="s">
        <v>793</v>
      </c>
      <c r="K151" s="9" t="s">
        <v>794</v>
      </c>
    </row>
    <row r="152" customFormat="false" ht="15" hidden="false" customHeight="false" outlineLevel="0" collapsed="false">
      <c r="A152" s="2" t="n">
        <v>151</v>
      </c>
      <c r="B152" s="3" t="s">
        <v>795</v>
      </c>
      <c r="C152" s="4" t="s">
        <v>785</v>
      </c>
      <c r="D152" s="4" t="s">
        <v>754</v>
      </c>
      <c r="E152" s="3" t="s">
        <v>796</v>
      </c>
      <c r="F152" s="5" t="s">
        <v>787</v>
      </c>
      <c r="G152" s="4" t="s">
        <v>797</v>
      </c>
      <c r="H152" s="6" t="n">
        <v>4.9</v>
      </c>
      <c r="I152" s="7" t="n">
        <v>41</v>
      </c>
      <c r="J152" s="3" t="s">
        <v>798</v>
      </c>
      <c r="K152" s="3" t="s">
        <v>799</v>
      </c>
    </row>
    <row r="153" customFormat="false" ht="15" hidden="false" customHeight="false" outlineLevel="0" collapsed="false">
      <c r="A153" s="8" t="n">
        <v>152</v>
      </c>
      <c r="B153" s="9" t="s">
        <v>800</v>
      </c>
      <c r="C153" s="10" t="s">
        <v>785</v>
      </c>
      <c r="D153" s="10" t="s">
        <v>754</v>
      </c>
      <c r="E153" s="9" t="s">
        <v>801</v>
      </c>
      <c r="F153" s="11" t="s">
        <v>787</v>
      </c>
      <c r="G153" s="10" t="s">
        <v>802</v>
      </c>
      <c r="H153" s="12" t="n">
        <v>4.9</v>
      </c>
      <c r="I153" s="13" t="n">
        <v>28</v>
      </c>
      <c r="J153" s="9" t="s">
        <v>803</v>
      </c>
      <c r="K153" s="9" t="s">
        <v>804</v>
      </c>
    </row>
    <row r="154" customFormat="false" ht="15" hidden="false" customHeight="false" outlineLevel="0" collapsed="false">
      <c r="A154" s="2" t="n">
        <v>153</v>
      </c>
      <c r="B154" s="3" t="s">
        <v>805</v>
      </c>
      <c r="C154" s="4" t="s">
        <v>785</v>
      </c>
      <c r="D154" s="4" t="s">
        <v>754</v>
      </c>
      <c r="E154" s="3" t="s">
        <v>806</v>
      </c>
      <c r="F154" s="5" t="s">
        <v>787</v>
      </c>
      <c r="G154" s="4" t="s">
        <v>807</v>
      </c>
      <c r="H154" s="6" t="n">
        <v>5</v>
      </c>
      <c r="I154" s="7" t="n">
        <v>121</v>
      </c>
      <c r="J154" s="3" t="s">
        <v>428</v>
      </c>
      <c r="K154" s="3" t="s">
        <v>808</v>
      </c>
    </row>
    <row r="155" customFormat="false" ht="15" hidden="false" customHeight="false" outlineLevel="0" collapsed="false">
      <c r="A155" s="8" t="n">
        <v>154</v>
      </c>
      <c r="B155" s="9" t="s">
        <v>809</v>
      </c>
      <c r="C155" s="10" t="s">
        <v>810</v>
      </c>
      <c r="D155" s="10" t="s">
        <v>754</v>
      </c>
      <c r="E155" s="9" t="s">
        <v>811</v>
      </c>
      <c r="F155" s="11" t="s">
        <v>812</v>
      </c>
      <c r="G155" s="10" t="s">
        <v>813</v>
      </c>
      <c r="H155" s="12" t="n">
        <v>4.8</v>
      </c>
      <c r="I155" s="13" t="n">
        <v>35</v>
      </c>
      <c r="J155" s="9" t="s">
        <v>350</v>
      </c>
      <c r="K155" s="9" t="s">
        <v>814</v>
      </c>
    </row>
    <row r="156" customFormat="false" ht="15" hidden="false" customHeight="false" outlineLevel="0" collapsed="false">
      <c r="A156" s="2" t="n">
        <v>155</v>
      </c>
      <c r="B156" s="3" t="s">
        <v>815</v>
      </c>
      <c r="C156" s="4" t="s">
        <v>810</v>
      </c>
      <c r="D156" s="4" t="s">
        <v>754</v>
      </c>
      <c r="E156" s="3" t="s">
        <v>816</v>
      </c>
      <c r="F156" s="5" t="s">
        <v>812</v>
      </c>
      <c r="G156" s="4" t="s">
        <v>817</v>
      </c>
      <c r="H156" s="6" t="n">
        <v>4.4</v>
      </c>
      <c r="I156" s="7" t="n">
        <v>23</v>
      </c>
      <c r="J156" s="3" t="s">
        <v>499</v>
      </c>
      <c r="K156" s="3" t="s">
        <v>818</v>
      </c>
    </row>
    <row r="157" customFormat="false" ht="15" hidden="false" customHeight="false" outlineLevel="0" collapsed="false">
      <c r="A157" s="8" t="n">
        <v>156</v>
      </c>
      <c r="B157" s="9" t="s">
        <v>819</v>
      </c>
      <c r="C157" s="10" t="s">
        <v>810</v>
      </c>
      <c r="D157" s="10" t="s">
        <v>754</v>
      </c>
      <c r="E157" s="9" t="s">
        <v>820</v>
      </c>
      <c r="F157" s="11" t="s">
        <v>812</v>
      </c>
      <c r="G157" s="10" t="s">
        <v>821</v>
      </c>
      <c r="H157" s="12" t="n">
        <v>4.7</v>
      </c>
      <c r="I157" s="13" t="n">
        <v>64</v>
      </c>
      <c r="J157" s="9" t="s">
        <v>539</v>
      </c>
      <c r="K157" s="9" t="s">
        <v>822</v>
      </c>
    </row>
    <row r="158" customFormat="false" ht="15" hidden="false" customHeight="false" outlineLevel="0" collapsed="false">
      <c r="A158" s="2" t="n">
        <v>157</v>
      </c>
      <c r="B158" s="3" t="s">
        <v>823</v>
      </c>
      <c r="C158" s="4" t="s">
        <v>824</v>
      </c>
      <c r="D158" s="4" t="s">
        <v>754</v>
      </c>
      <c r="E158" s="3" t="s">
        <v>825</v>
      </c>
      <c r="F158" s="5" t="s">
        <v>812</v>
      </c>
      <c r="G158" s="4" t="s">
        <v>826</v>
      </c>
      <c r="H158" s="6" t="n">
        <v>4.7</v>
      </c>
      <c r="I158" s="7" t="n">
        <v>19</v>
      </c>
      <c r="J158" s="3" t="s">
        <v>827</v>
      </c>
      <c r="K158" s="3" t="s">
        <v>828</v>
      </c>
    </row>
    <row r="159" customFormat="false" ht="15" hidden="false" customHeight="false" outlineLevel="0" collapsed="false">
      <c r="A159" s="8" t="n">
        <v>158</v>
      </c>
      <c r="B159" s="9" t="s">
        <v>829</v>
      </c>
      <c r="C159" s="10" t="s">
        <v>830</v>
      </c>
      <c r="D159" s="10" t="s">
        <v>754</v>
      </c>
      <c r="E159" s="9" t="s">
        <v>831</v>
      </c>
      <c r="F159" s="11" t="s">
        <v>812</v>
      </c>
      <c r="G159" s="10" t="s">
        <v>832</v>
      </c>
      <c r="H159" s="12" t="n">
        <v>5</v>
      </c>
      <c r="I159" s="13" t="n">
        <v>10</v>
      </c>
      <c r="J159" s="9" t="s">
        <v>833</v>
      </c>
      <c r="K159" s="9" t="s">
        <v>834</v>
      </c>
    </row>
    <row r="160" customFormat="false" ht="15" hidden="false" customHeight="false" outlineLevel="0" collapsed="false">
      <c r="A160" s="2" t="n">
        <v>159</v>
      </c>
      <c r="B160" s="3" t="s">
        <v>835</v>
      </c>
      <c r="C160" s="4" t="s">
        <v>830</v>
      </c>
      <c r="D160" s="4" t="s">
        <v>754</v>
      </c>
      <c r="E160" s="3" t="s">
        <v>836</v>
      </c>
      <c r="F160" s="5" t="s">
        <v>812</v>
      </c>
      <c r="G160" s="4" t="s">
        <v>837</v>
      </c>
      <c r="H160" s="6" t="n">
        <v>4.7</v>
      </c>
      <c r="I160" s="7" t="n">
        <v>25</v>
      </c>
      <c r="J160" s="3" t="s">
        <v>838</v>
      </c>
      <c r="K160" s="3" t="s">
        <v>839</v>
      </c>
    </row>
    <row r="161" customFormat="false" ht="15" hidden="false" customHeight="false" outlineLevel="0" collapsed="false">
      <c r="A161" s="8" t="n">
        <v>160</v>
      </c>
      <c r="B161" s="9" t="s">
        <v>840</v>
      </c>
      <c r="C161" s="10" t="s">
        <v>841</v>
      </c>
      <c r="D161" s="10" t="s">
        <v>754</v>
      </c>
      <c r="E161" s="9" t="s">
        <v>842</v>
      </c>
      <c r="F161" s="11" t="s">
        <v>843</v>
      </c>
      <c r="G161" s="10" t="s">
        <v>844</v>
      </c>
      <c r="H161" s="12" t="n">
        <v>4.7</v>
      </c>
      <c r="I161" s="13" t="n">
        <v>98</v>
      </c>
      <c r="J161" s="9" t="s">
        <v>845</v>
      </c>
      <c r="K161" s="9" t="s">
        <v>846</v>
      </c>
    </row>
    <row r="162" customFormat="false" ht="15" hidden="false" customHeight="false" outlineLevel="0" collapsed="false">
      <c r="A162" s="2" t="n">
        <v>161</v>
      </c>
      <c r="B162" s="3" t="s">
        <v>847</v>
      </c>
      <c r="C162" s="4" t="s">
        <v>841</v>
      </c>
      <c r="D162" s="4" t="s">
        <v>754</v>
      </c>
      <c r="E162" s="3" t="s">
        <v>848</v>
      </c>
      <c r="F162" s="5" t="s">
        <v>843</v>
      </c>
      <c r="G162" s="4" t="s">
        <v>849</v>
      </c>
      <c r="H162" s="6" t="n">
        <v>4.7</v>
      </c>
      <c r="I162" s="7" t="n">
        <v>45</v>
      </c>
      <c r="J162" s="3" t="s">
        <v>850</v>
      </c>
      <c r="K162" s="3" t="s">
        <v>851</v>
      </c>
    </row>
    <row r="163" customFormat="false" ht="15" hidden="false" customHeight="false" outlineLevel="0" collapsed="false">
      <c r="A163" s="8" t="n">
        <v>162</v>
      </c>
      <c r="B163" s="9" t="s">
        <v>852</v>
      </c>
      <c r="C163" s="10" t="s">
        <v>841</v>
      </c>
      <c r="D163" s="10" t="s">
        <v>754</v>
      </c>
      <c r="E163" s="9" t="s">
        <v>853</v>
      </c>
      <c r="F163" s="11" t="s">
        <v>843</v>
      </c>
      <c r="G163" s="10" t="s">
        <v>854</v>
      </c>
      <c r="H163" s="12" t="n">
        <v>4.6</v>
      </c>
      <c r="I163" s="13" t="n">
        <v>33</v>
      </c>
      <c r="J163" s="9" t="s">
        <v>850</v>
      </c>
      <c r="K163" s="9" t="s">
        <v>855</v>
      </c>
    </row>
    <row r="164" customFormat="false" ht="15" hidden="false" customHeight="false" outlineLevel="0" collapsed="false">
      <c r="A164" s="2" t="n">
        <v>163</v>
      </c>
      <c r="B164" s="3" t="s">
        <v>856</v>
      </c>
      <c r="C164" s="4" t="s">
        <v>841</v>
      </c>
      <c r="D164" s="4" t="s">
        <v>754</v>
      </c>
      <c r="E164" s="3" t="s">
        <v>857</v>
      </c>
      <c r="F164" s="5" t="s">
        <v>843</v>
      </c>
      <c r="G164" s="4" t="s">
        <v>858</v>
      </c>
      <c r="H164" s="6" t="n">
        <v>4.9</v>
      </c>
      <c r="I164" s="7" t="n">
        <v>37</v>
      </c>
      <c r="J164" s="3" t="s">
        <v>859</v>
      </c>
      <c r="K164" s="3" t="s">
        <v>860</v>
      </c>
    </row>
    <row r="165" customFormat="false" ht="15" hidden="false" customHeight="false" outlineLevel="0" collapsed="false">
      <c r="A165" s="8" t="n">
        <v>164</v>
      </c>
      <c r="B165" s="9" t="s">
        <v>861</v>
      </c>
      <c r="C165" s="10" t="s">
        <v>862</v>
      </c>
      <c r="D165" s="10" t="s">
        <v>754</v>
      </c>
      <c r="E165" s="9" t="s">
        <v>863</v>
      </c>
      <c r="F165" s="11" t="s">
        <v>843</v>
      </c>
      <c r="G165" s="10" t="s">
        <v>864</v>
      </c>
      <c r="H165" s="12" t="n">
        <v>4.2</v>
      </c>
      <c r="I165" s="13" t="n">
        <v>5</v>
      </c>
      <c r="J165" s="9" t="s">
        <v>51</v>
      </c>
      <c r="K165" s="9" t="s">
        <v>865</v>
      </c>
    </row>
    <row r="166" customFormat="false" ht="15" hidden="false" customHeight="false" outlineLevel="0" collapsed="false">
      <c r="A166" s="2" t="n">
        <v>165</v>
      </c>
      <c r="B166" s="3" t="s">
        <v>866</v>
      </c>
      <c r="C166" s="4" t="s">
        <v>862</v>
      </c>
      <c r="D166" s="4" t="s">
        <v>754</v>
      </c>
      <c r="E166" s="3" t="s">
        <v>867</v>
      </c>
      <c r="F166" s="5" t="s">
        <v>843</v>
      </c>
      <c r="G166" s="4" t="s">
        <v>868</v>
      </c>
      <c r="H166" s="6" t="n">
        <v>4.9</v>
      </c>
      <c r="I166" s="7" t="n">
        <v>34</v>
      </c>
      <c r="J166" s="3" t="s">
        <v>27</v>
      </c>
      <c r="K166" s="3" t="s">
        <v>869</v>
      </c>
    </row>
    <row r="167" customFormat="false" ht="15" hidden="false" customHeight="false" outlineLevel="0" collapsed="false">
      <c r="A167" s="8" t="n">
        <v>166</v>
      </c>
      <c r="B167" s="9" t="s">
        <v>870</v>
      </c>
      <c r="C167" s="10" t="s">
        <v>871</v>
      </c>
      <c r="D167" s="10" t="s">
        <v>754</v>
      </c>
      <c r="E167" s="9" t="s">
        <v>872</v>
      </c>
      <c r="F167" s="11" t="s">
        <v>873</v>
      </c>
      <c r="G167" s="10" t="s">
        <v>874</v>
      </c>
      <c r="H167" s="12" t="n">
        <v>5</v>
      </c>
      <c r="I167" s="13" t="n">
        <v>5</v>
      </c>
      <c r="J167" s="9" t="s">
        <v>875</v>
      </c>
      <c r="K167" s="9" t="s">
        <v>876</v>
      </c>
    </row>
    <row r="168" customFormat="false" ht="15" hidden="false" customHeight="false" outlineLevel="0" collapsed="false">
      <c r="A168" s="2" t="n">
        <v>167</v>
      </c>
      <c r="B168" s="3" t="s">
        <v>877</v>
      </c>
      <c r="C168" s="4" t="s">
        <v>871</v>
      </c>
      <c r="D168" s="4" t="s">
        <v>754</v>
      </c>
      <c r="E168" s="3" t="s">
        <v>878</v>
      </c>
      <c r="F168" s="5" t="s">
        <v>873</v>
      </c>
      <c r="G168" s="4" t="s">
        <v>879</v>
      </c>
      <c r="H168" s="6" t="n">
        <v>4.9</v>
      </c>
      <c r="I168" s="7" t="n">
        <v>39</v>
      </c>
      <c r="J168" s="3" t="s">
        <v>880</v>
      </c>
      <c r="K168" s="3" t="s">
        <v>881</v>
      </c>
    </row>
    <row r="169" customFormat="false" ht="15" hidden="false" customHeight="false" outlineLevel="0" collapsed="false">
      <c r="A169" s="8" t="n">
        <v>168</v>
      </c>
      <c r="B169" s="9" t="s">
        <v>882</v>
      </c>
      <c r="C169" s="10" t="s">
        <v>871</v>
      </c>
      <c r="D169" s="10" t="s">
        <v>754</v>
      </c>
      <c r="E169" s="9" t="s">
        <v>883</v>
      </c>
      <c r="F169" s="11" t="s">
        <v>873</v>
      </c>
      <c r="G169" s="10" t="s">
        <v>884</v>
      </c>
      <c r="H169" s="12" t="n">
        <v>5</v>
      </c>
      <c r="I169" s="13" t="n">
        <v>116</v>
      </c>
      <c r="J169" s="9" t="s">
        <v>885</v>
      </c>
      <c r="K169" s="9" t="s">
        <v>886</v>
      </c>
    </row>
    <row r="170" customFormat="false" ht="15" hidden="false" customHeight="false" outlineLevel="0" collapsed="false">
      <c r="A170" s="2" t="n">
        <v>169</v>
      </c>
      <c r="B170" s="3" t="s">
        <v>887</v>
      </c>
      <c r="C170" s="4" t="s">
        <v>871</v>
      </c>
      <c r="D170" s="4" t="s">
        <v>754</v>
      </c>
      <c r="E170" s="3" t="s">
        <v>888</v>
      </c>
      <c r="F170" s="5" t="s">
        <v>873</v>
      </c>
      <c r="G170" s="4" t="s">
        <v>889</v>
      </c>
      <c r="H170" s="6" t="n">
        <v>5</v>
      </c>
      <c r="I170" s="7" t="n">
        <v>33</v>
      </c>
      <c r="J170" s="3" t="s">
        <v>329</v>
      </c>
      <c r="K170" s="3" t="s">
        <v>890</v>
      </c>
    </row>
    <row r="171" customFormat="false" ht="15" hidden="false" customHeight="false" outlineLevel="0" collapsed="false">
      <c r="A171" s="8" t="n">
        <v>170</v>
      </c>
      <c r="B171" s="9" t="s">
        <v>891</v>
      </c>
      <c r="C171" s="10" t="s">
        <v>871</v>
      </c>
      <c r="D171" s="10" t="s">
        <v>754</v>
      </c>
      <c r="E171" s="9" t="s">
        <v>892</v>
      </c>
      <c r="F171" s="11" t="s">
        <v>873</v>
      </c>
      <c r="G171" s="10" t="s">
        <v>893</v>
      </c>
      <c r="H171" s="12" t="n">
        <v>4.7</v>
      </c>
      <c r="I171" s="13" t="n">
        <v>47</v>
      </c>
      <c r="J171" s="9" t="s">
        <v>894</v>
      </c>
      <c r="K171" s="9" t="s">
        <v>895</v>
      </c>
    </row>
    <row r="172" customFormat="false" ht="15" hidden="false" customHeight="false" outlineLevel="0" collapsed="false">
      <c r="A172" s="2" t="n">
        <v>171</v>
      </c>
      <c r="B172" s="3" t="s">
        <v>896</v>
      </c>
      <c r="C172" s="4" t="s">
        <v>897</v>
      </c>
      <c r="D172" s="4" t="s">
        <v>754</v>
      </c>
      <c r="E172" s="3" t="s">
        <v>898</v>
      </c>
      <c r="F172" s="5" t="s">
        <v>873</v>
      </c>
      <c r="G172" s="4" t="s">
        <v>899</v>
      </c>
      <c r="H172" s="6" t="n">
        <v>4.9</v>
      </c>
      <c r="I172" s="7" t="n">
        <v>236</v>
      </c>
      <c r="J172" s="3" t="s">
        <v>73</v>
      </c>
      <c r="K172" s="3" t="s">
        <v>900</v>
      </c>
    </row>
  </sheetData>
  <autoFilter ref="A1:K1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4" t="s">
        <v>901</v>
      </c>
    </row>
    <row r="3" customFormat="false" ht="15" hidden="false" customHeight="false" outlineLevel="0" collapsed="false">
      <c r="A3" s="15" t="s">
        <v>3</v>
      </c>
      <c r="B3" s="15" t="s">
        <v>902</v>
      </c>
      <c r="C3" s="15" t="s">
        <v>903</v>
      </c>
    </row>
    <row r="4" customFormat="false" ht="15" hidden="false" customHeight="false" outlineLevel="0" collapsed="false">
      <c r="A4" s="16" t="s">
        <v>12</v>
      </c>
      <c r="B4" s="17" t="n">
        <f aca="false">COUNTIF(Praxen!$D$2:$D$172,$A4)</f>
        <v>8</v>
      </c>
      <c r="C4" s="18" t="n">
        <f aca="false">IFERROR(AVERAGEIFS(Praxen!$H$2:$H$172,Praxen!$D$2:$D$172,$A4,Praxen!$H$2:$H$172,"&gt;0"),"-")</f>
        <v>4.7</v>
      </c>
    </row>
    <row r="5" customFormat="false" ht="15" hidden="false" customHeight="false" outlineLevel="0" collapsed="false">
      <c r="A5" s="16" t="s">
        <v>59</v>
      </c>
      <c r="B5" s="17" t="n">
        <f aca="false">COUNTIF(Praxen!$D$2:$D$172,$A5)</f>
        <v>12</v>
      </c>
      <c r="C5" s="18" t="n">
        <f aca="false">IFERROR(AVERAGEIFS(Praxen!$H$2:$H$172,Praxen!$D$2:$D$172,$A5,Praxen!$H$2:$H$172,"&gt;0"),"-")</f>
        <v>4.84166666666667</v>
      </c>
    </row>
    <row r="6" customFormat="false" ht="15" hidden="false" customHeight="false" outlineLevel="0" collapsed="false">
      <c r="A6" s="16" t="s">
        <v>123</v>
      </c>
      <c r="B6" s="17" t="n">
        <f aca="false">COUNTIF(Praxen!$D$2:$D$172,$A6)</f>
        <v>21</v>
      </c>
      <c r="C6" s="18" t="n">
        <f aca="false">IFERROR(AVERAGEIFS(Praxen!$H$2:$H$172,Praxen!$D$2:$D$172,$A6,Praxen!$H$2:$H$172,"&gt;0"),"-")</f>
        <v>4.80952380952381</v>
      </c>
    </row>
    <row r="7" customFormat="false" ht="15" hidden="false" customHeight="false" outlineLevel="0" collapsed="false">
      <c r="A7" s="16" t="s">
        <v>236</v>
      </c>
      <c r="B7" s="17" t="n">
        <f aca="false">COUNTIF(Praxen!$D$2:$D$172,$A7)</f>
        <v>14</v>
      </c>
      <c r="C7" s="18" t="n">
        <f aca="false">IFERROR(AVERAGEIFS(Praxen!$H$2:$H$172,Praxen!$D$2:$D$172,$A7,Praxen!$H$2:$H$172,"&gt;0"),"-")</f>
        <v>4.71428571428571</v>
      </c>
    </row>
    <row r="8" customFormat="false" ht="15" hidden="false" customHeight="false" outlineLevel="0" collapsed="false">
      <c r="A8" s="16" t="s">
        <v>310</v>
      </c>
      <c r="B8" s="17" t="n">
        <f aca="false">COUNTIF(Praxen!$D$2:$D$172,$A8)</f>
        <v>32</v>
      </c>
      <c r="C8" s="18" t="n">
        <f aca="false">IFERROR(AVERAGEIFS(Praxen!$H$2:$H$172,Praxen!$D$2:$D$172,$A8,Praxen!$H$2:$H$172,"&gt;0"),"-")</f>
        <v>4.884375</v>
      </c>
    </row>
    <row r="9" customFormat="false" ht="15" hidden="false" customHeight="false" outlineLevel="0" collapsed="false">
      <c r="A9" s="16" t="s">
        <v>471</v>
      </c>
      <c r="B9" s="17" t="n">
        <f aca="false">COUNTIF(Praxen!$D$2:$D$172,$A9)</f>
        <v>10</v>
      </c>
      <c r="C9" s="18" t="n">
        <f aca="false">IFERROR(AVERAGEIFS(Praxen!$H$2:$H$172,Praxen!$D$2:$D$172,$A9,Praxen!$H$2:$H$172,"&gt;0"),"-")</f>
        <v>4.83</v>
      </c>
    </row>
    <row r="10" customFormat="false" ht="15" hidden="false" customHeight="false" outlineLevel="0" collapsed="false">
      <c r="A10" s="16" t="s">
        <v>524</v>
      </c>
      <c r="B10" s="17" t="n">
        <f aca="false">COUNTIF(Praxen!$D$2:$D$172,$A10)</f>
        <v>17</v>
      </c>
      <c r="C10" s="18" t="n">
        <f aca="false">IFERROR(AVERAGEIFS(Praxen!$H$2:$H$172,Praxen!$D$2:$D$172,$A10,Praxen!$H$2:$H$172,"&gt;0"),"-")</f>
        <v>4.6875</v>
      </c>
    </row>
    <row r="11" customFormat="false" ht="15" hidden="false" customHeight="false" outlineLevel="0" collapsed="false">
      <c r="A11" s="16" t="s">
        <v>613</v>
      </c>
      <c r="B11" s="17" t="n">
        <f aca="false">COUNTIF(Praxen!$D$2:$D$172,$A11)</f>
        <v>6</v>
      </c>
      <c r="C11" s="18" t="n">
        <f aca="false">IFERROR(AVERAGEIFS(Praxen!$H$2:$H$172,Praxen!$D$2:$D$172,$A11,Praxen!$H$2:$H$172,"&gt;0"),"-")</f>
        <v>4.71666666666667</v>
      </c>
    </row>
    <row r="12" customFormat="false" ht="15" hidden="false" customHeight="false" outlineLevel="0" collapsed="false">
      <c r="A12" s="16" t="s">
        <v>643</v>
      </c>
      <c r="B12" s="17" t="n">
        <f aca="false">COUNTIF(Praxen!$D$2:$D$172,$A12)</f>
        <v>22</v>
      </c>
      <c r="C12" s="18" t="n">
        <f aca="false">IFERROR(AVERAGEIFS(Praxen!$H$2:$H$172,Praxen!$D$2:$D$172,$A12,Praxen!$H$2:$H$172,"&gt;0"),"-")</f>
        <v>4.805</v>
      </c>
    </row>
    <row r="13" customFormat="false" ht="15" hidden="false" customHeight="false" outlineLevel="0" collapsed="false">
      <c r="A13" s="16" t="s">
        <v>754</v>
      </c>
      <c r="B13" s="17" t="n">
        <f aca="false">COUNTIF(Praxen!$D$2:$D$172,$A13)</f>
        <v>29</v>
      </c>
      <c r="C13" s="18" t="n">
        <f aca="false">IFERROR(AVERAGEIFS(Praxen!$H$2:$H$172,Praxen!$D$2:$D$172,$A13,Praxen!$H$2:$H$172,"&gt;0"),"-")</f>
        <v>4.80344827586207</v>
      </c>
    </row>
    <row r="14" customFormat="false" ht="15" hidden="false" customHeight="false" outlineLevel="0" collapsed="false">
      <c r="A14" s="19" t="s">
        <v>904</v>
      </c>
      <c r="B14" s="20" t="n">
        <f aca="false">SUM(B4:B13)</f>
        <v>171</v>
      </c>
      <c r="C14" s="21" t="n">
        <f aca="false">IFERROR(AVERAGEIF(Praxen!$H$2:$H$172,"&gt;0"),"-")</f>
        <v>4.79761904761905</v>
      </c>
    </row>
    <row r="16" customFormat="false" ht="15" hidden="false" customHeight="false" outlineLevel="0" collapsed="false">
      <c r="A16" s="22" t="s">
        <v>905</v>
      </c>
    </row>
    <row r="17" customFormat="false" ht="15" hidden="false" customHeight="false" outlineLevel="0" collapsed="false">
      <c r="A17" s="22" t="s">
        <v>906</v>
      </c>
    </row>
    <row r="18" customFormat="false" ht="15" hidden="false" customHeight="false" outlineLevel="0" collapsed="false">
      <c r="A18" s="22" t="s">
        <v>907</v>
      </c>
    </row>
    <row r="19" customFormat="false" ht="15" hidden="false" customHeight="false" outlineLevel="0" collapsed="false">
      <c r="A19" s="22" t="s">
        <v>908</v>
      </c>
    </row>
    <row r="20" customFormat="false" ht="15" hidden="false" customHeight="false" outlineLevel="0" collapsed="false">
      <c r="A20" s="22" t="s">
        <v>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2026-07-26T10:19:53Z</dcterms:created>
  <dc:creator>openpyxl</dc:creator>
  <dc:description/>
  <dc:language>en-US</dc:language>
  <cp:lastModifiedBy/>
  <dcterms:modified xsi:type="dcterms:W3CDTF">2026-07-26T10:19:53Z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